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iWi\Datenauswertung Batterie\"/>
    </mc:Choice>
  </mc:AlternateContent>
  <xr:revisionPtr revIDLastSave="0" documentId="8_{BD378B4E-F5FA-4E73-9C62-0CFE8002EF63}" xr6:coauthVersionLast="47" xr6:coauthVersionMax="47" xr10:uidLastSave="{00000000-0000-0000-0000-000000000000}"/>
  <bookViews>
    <workbookView xWindow="-110" yWindow="-110" windowWidth="19420" windowHeight="10300" firstSheet="16" activeTab="17" xr2:uid="{00000000-000D-0000-FFFF-FFFF00000000}"/>
  </bookViews>
  <sheets>
    <sheet name="Vollzelle - 10µm(Cr2032) - For" sheetId="1" r:id="rId1"/>
    <sheet name="Vollzelle - Pouchzelle (10µm)" sheetId="8" r:id="rId2"/>
    <sheet name="Halbzelle - 10µm (CR2032) - For" sheetId="9" r:id="rId3"/>
    <sheet name="Halbzelle - 5µm (CR2032) - For" sheetId="10" r:id="rId4"/>
    <sheet name="Halbzelle - Ref (CR2032) - For" sheetId="11" r:id="rId5"/>
    <sheet name="Halbzelle - 10µm - EIS" sheetId="12" r:id="rId6"/>
    <sheet name="Halbzelle - 5µm - EIS" sheetId="13" r:id="rId7"/>
    <sheet name="Halbzelle - 10µm - 35°C - EIS" sheetId="14" r:id="rId8"/>
    <sheet name="Halbzelle - Ref - EIS" sheetId="16" r:id="rId9"/>
    <sheet name="Vollzellen - 10µm - EIS" sheetId="17" r:id="rId10"/>
    <sheet name="Vollzellen - 5µm - EIS" sheetId="18" r:id="rId11"/>
    <sheet name="Halbzelle - 5µm - 35°C - EIS" sheetId="15" r:id="rId12"/>
    <sheet name="Vollzelle - 5µm (CR2032) - For" sheetId="4" r:id="rId13"/>
    <sheet name="Vollzelle - Referenzzelle" sheetId="5" r:id="rId14"/>
    <sheet name="Vollzelle - 10µm - 35°C" sheetId="7" r:id="rId15"/>
    <sheet name="Vollzelle - 5µm - 35°C" sheetId="19" r:id="rId16"/>
    <sheet name="Material - Abmessungen" sheetId="2" r:id="rId17"/>
    <sheet name="Spez. Kapazität" sheetId="20" r:id="rId18"/>
    <sheet name="Gruppenübersicht" sheetId="2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20" l="1"/>
  <c r="G66" i="20"/>
  <c r="F66" i="20"/>
  <c r="J65" i="20"/>
  <c r="G65" i="20"/>
  <c r="F65" i="20"/>
  <c r="J64" i="20"/>
  <c r="G64" i="20"/>
  <c r="F64" i="20"/>
  <c r="J63" i="20"/>
  <c r="G63" i="20"/>
  <c r="F63" i="20"/>
  <c r="J62" i="20"/>
  <c r="G62" i="20"/>
  <c r="F62" i="20"/>
  <c r="J61" i="20"/>
  <c r="G61" i="20"/>
  <c r="F61" i="20"/>
  <c r="J60" i="20"/>
  <c r="G60" i="20"/>
  <c r="F60" i="20"/>
  <c r="J59" i="20"/>
  <c r="G59" i="20"/>
  <c r="F59" i="20"/>
  <c r="J58" i="20"/>
  <c r="G58" i="20"/>
  <c r="F58" i="20"/>
  <c r="J57" i="20"/>
  <c r="G57" i="20"/>
  <c r="F57" i="20"/>
  <c r="J56" i="20"/>
  <c r="G56" i="20"/>
  <c r="F56" i="20"/>
  <c r="J55" i="20"/>
  <c r="G55" i="20"/>
  <c r="F55" i="20"/>
  <c r="J54" i="20"/>
  <c r="G54" i="20"/>
  <c r="F54" i="20"/>
  <c r="J53" i="20"/>
  <c r="G53" i="20"/>
  <c r="F53" i="20"/>
  <c r="J52" i="20"/>
  <c r="G52" i="20"/>
  <c r="F52" i="20"/>
  <c r="J51" i="20"/>
  <c r="G51" i="20"/>
  <c r="F51" i="20"/>
  <c r="J50" i="20"/>
  <c r="G50" i="20"/>
  <c r="F50" i="20"/>
  <c r="J49" i="20"/>
  <c r="G49" i="20"/>
  <c r="F49" i="20"/>
  <c r="J48" i="20"/>
  <c r="G48" i="20"/>
  <c r="F48" i="20"/>
  <c r="J47" i="20"/>
  <c r="G47" i="20"/>
  <c r="F47" i="20"/>
  <c r="J46" i="20"/>
  <c r="G46" i="20"/>
  <c r="F46" i="20"/>
  <c r="J45" i="20"/>
  <c r="G45" i="20"/>
  <c r="F45" i="20"/>
  <c r="J44" i="20"/>
  <c r="G44" i="20"/>
  <c r="F44" i="20"/>
  <c r="J43" i="20"/>
  <c r="G43" i="20"/>
  <c r="F43" i="20"/>
  <c r="J42" i="20"/>
  <c r="G42" i="20"/>
  <c r="F42" i="20"/>
  <c r="J41" i="20"/>
  <c r="G41" i="20"/>
  <c r="F41" i="20"/>
  <c r="J40" i="20"/>
  <c r="G40" i="20"/>
  <c r="F40" i="20"/>
  <c r="J39" i="20"/>
  <c r="G39" i="20"/>
  <c r="F39" i="20"/>
  <c r="J38" i="20"/>
  <c r="G38" i="20"/>
  <c r="F38" i="20"/>
  <c r="J37" i="20"/>
  <c r="G37" i="20"/>
  <c r="F37" i="20"/>
  <c r="J36" i="20"/>
  <c r="G36" i="20"/>
  <c r="F36" i="20"/>
  <c r="J35" i="20"/>
  <c r="G35" i="20"/>
  <c r="F35" i="20"/>
  <c r="J34" i="20"/>
  <c r="G34" i="20"/>
  <c r="F34" i="20"/>
  <c r="J33" i="20"/>
  <c r="G33" i="20"/>
  <c r="F33" i="20"/>
  <c r="J32" i="20"/>
  <c r="G32" i="20"/>
  <c r="F32" i="20"/>
  <c r="J31" i="20"/>
  <c r="G31" i="20"/>
  <c r="F31" i="20"/>
  <c r="J30" i="20"/>
  <c r="G30" i="20"/>
  <c r="F30" i="20"/>
  <c r="J29" i="20"/>
  <c r="G29" i="20"/>
  <c r="F29" i="20"/>
  <c r="J28" i="20"/>
  <c r="G28" i="20"/>
  <c r="F28" i="20"/>
  <c r="J27" i="20"/>
  <c r="G27" i="20"/>
  <c r="F27" i="20"/>
  <c r="J26" i="20"/>
  <c r="G26" i="20"/>
  <c r="F26" i="20"/>
  <c r="J25" i="20"/>
  <c r="G25" i="20"/>
  <c r="F25" i="20"/>
  <c r="J24" i="20"/>
  <c r="G24" i="20"/>
  <c r="F24" i="20"/>
  <c r="J23" i="20"/>
  <c r="G23" i="20"/>
  <c r="F23" i="20"/>
  <c r="J22" i="20"/>
  <c r="G22" i="20"/>
  <c r="F22" i="20"/>
  <c r="J21" i="20"/>
  <c r="G21" i="20"/>
  <c r="F21" i="20"/>
  <c r="J20" i="20"/>
  <c r="G20" i="20"/>
  <c r="F20" i="20"/>
  <c r="J19" i="20"/>
  <c r="G19" i="20"/>
  <c r="F19" i="20"/>
  <c r="J18" i="20"/>
  <c r="G18" i="20"/>
  <c r="F18" i="20"/>
  <c r="J17" i="20"/>
  <c r="G17" i="20"/>
  <c r="F17" i="20"/>
  <c r="J16" i="20"/>
  <c r="G16" i="20"/>
  <c r="F16" i="20"/>
  <c r="J15" i="20"/>
  <c r="G15" i="20"/>
  <c r="F15" i="20"/>
  <c r="J14" i="20"/>
  <c r="G14" i="20"/>
  <c r="F14" i="20"/>
  <c r="J13" i="20"/>
  <c r="G13" i="20"/>
  <c r="F13" i="20"/>
  <c r="J12" i="20"/>
  <c r="G12" i="20"/>
  <c r="F12" i="20"/>
  <c r="J11" i="20"/>
  <c r="G11" i="20"/>
  <c r="F11" i="20"/>
  <c r="J10" i="20"/>
  <c r="G10" i="20"/>
  <c r="F10" i="20"/>
  <c r="J9" i="20"/>
  <c r="G9" i="20"/>
  <c r="F9" i="20"/>
  <c r="J8" i="20"/>
  <c r="G8" i="20"/>
  <c r="F8" i="20"/>
  <c r="J7" i="20"/>
  <c r="G7" i="20"/>
  <c r="F7" i="20"/>
  <c r="J6" i="20"/>
  <c r="G6" i="20"/>
  <c r="F6" i="20"/>
  <c r="J5" i="20"/>
  <c r="G5" i="20"/>
  <c r="F5" i="20"/>
  <c r="J4" i="20"/>
  <c r="G4" i="20"/>
  <c r="F4" i="20"/>
  <c r="J3" i="20"/>
  <c r="G3" i="20"/>
  <c r="F3" i="20"/>
  <c r="J2" i="20"/>
  <c r="G2" i="20"/>
  <c r="F2" i="20"/>
  <c r="F75" i="2"/>
  <c r="F76" i="2" s="1"/>
  <c r="F77" i="2" s="1"/>
  <c r="F74" i="2"/>
  <c r="F73" i="2"/>
  <c r="F59" i="2"/>
  <c r="F60" i="2" s="1"/>
  <c r="F61" i="2" s="1"/>
  <c r="F62" i="2" s="1"/>
  <c r="F63" i="2" s="1"/>
  <c r="E51" i="2"/>
  <c r="E49" i="2"/>
  <c r="E42" i="2"/>
  <c r="E44" i="2" s="1"/>
  <c r="E39" i="2"/>
  <c r="E37" i="2"/>
  <c r="E31" i="2"/>
  <c r="E33" i="2" s="1"/>
  <c r="E23" i="2"/>
  <c r="E25" i="2" s="1"/>
  <c r="E17" i="2"/>
  <c r="E15" i="2"/>
  <c r="H45" i="10" s="1"/>
  <c r="E14" i="2"/>
  <c r="E11" i="2"/>
  <c r="E9" i="2"/>
  <c r="K27" i="19"/>
  <c r="O27" i="19" s="1"/>
  <c r="J27" i="19"/>
  <c r="I27" i="19"/>
  <c r="M27" i="19" s="1"/>
  <c r="H27" i="19"/>
  <c r="G27" i="19"/>
  <c r="F27" i="19"/>
  <c r="K22" i="19"/>
  <c r="M22" i="19" s="1"/>
  <c r="J22" i="19"/>
  <c r="I22" i="19"/>
  <c r="H22" i="19"/>
  <c r="G22" i="19"/>
  <c r="F22" i="19"/>
  <c r="K27" i="7"/>
  <c r="J27" i="7"/>
  <c r="I27" i="7"/>
  <c r="H27" i="7"/>
  <c r="G27" i="7"/>
  <c r="F27" i="7"/>
  <c r="M27" i="7" s="1"/>
  <c r="K22" i="7"/>
  <c r="J22" i="7"/>
  <c r="I22" i="7"/>
  <c r="H22" i="7"/>
  <c r="G22" i="7"/>
  <c r="F22" i="7"/>
  <c r="M22" i="5"/>
  <c r="I22" i="5"/>
  <c r="H22" i="5"/>
  <c r="G22" i="5"/>
  <c r="F22" i="5"/>
  <c r="K22" i="5" s="1"/>
  <c r="I17" i="5"/>
  <c r="K17" i="5" s="1"/>
  <c r="H17" i="5"/>
  <c r="G17" i="5"/>
  <c r="F17" i="5"/>
  <c r="O96" i="4"/>
  <c r="K96" i="4"/>
  <c r="J96" i="4"/>
  <c r="I96" i="4"/>
  <c r="H96" i="4"/>
  <c r="G96" i="4"/>
  <c r="F96" i="4"/>
  <c r="M96" i="4" s="1"/>
  <c r="O91" i="4"/>
  <c r="K91" i="4"/>
  <c r="J91" i="4"/>
  <c r="I91" i="4"/>
  <c r="H91" i="4"/>
  <c r="G91" i="4"/>
  <c r="F91" i="4"/>
  <c r="M91" i="4" s="1"/>
  <c r="I71" i="4"/>
  <c r="H71" i="4"/>
  <c r="G71" i="4"/>
  <c r="F71" i="4"/>
  <c r="I66" i="4"/>
  <c r="H66" i="4"/>
  <c r="G66" i="4"/>
  <c r="F66" i="4"/>
  <c r="M66" i="4" s="1"/>
  <c r="I48" i="4"/>
  <c r="H48" i="4"/>
  <c r="G48" i="4"/>
  <c r="F48" i="4"/>
  <c r="M48" i="4" s="1"/>
  <c r="I43" i="4"/>
  <c r="H43" i="4"/>
  <c r="G43" i="4"/>
  <c r="F43" i="4"/>
  <c r="K43" i="4" s="1"/>
  <c r="I25" i="4"/>
  <c r="H25" i="4"/>
  <c r="G25" i="4"/>
  <c r="F25" i="4"/>
  <c r="M20" i="4"/>
  <c r="I20" i="4"/>
  <c r="H20" i="4"/>
  <c r="G20" i="4"/>
  <c r="F20" i="4"/>
  <c r="K20" i="4" s="1"/>
  <c r="H24" i="11"/>
  <c r="G24" i="11"/>
  <c r="F24" i="11"/>
  <c r="M19" i="11"/>
  <c r="K19" i="11"/>
  <c r="H19" i="11"/>
  <c r="G19" i="11"/>
  <c r="F19" i="11"/>
  <c r="H12" i="11"/>
  <c r="H11" i="11"/>
  <c r="H10" i="11"/>
  <c r="K157" i="10"/>
  <c r="I157" i="10"/>
  <c r="H157" i="10"/>
  <c r="G157" i="10"/>
  <c r="F157" i="10"/>
  <c r="M157" i="10" s="1"/>
  <c r="K152" i="10"/>
  <c r="I152" i="10"/>
  <c r="H152" i="10"/>
  <c r="M152" i="10" s="1"/>
  <c r="G152" i="10"/>
  <c r="F152" i="10"/>
  <c r="H144" i="10"/>
  <c r="H143" i="10"/>
  <c r="H142" i="10"/>
  <c r="E135" i="10"/>
  <c r="E129" i="10"/>
  <c r="H123" i="10"/>
  <c r="G123" i="10"/>
  <c r="F123" i="10"/>
  <c r="H118" i="10"/>
  <c r="K118" i="10" s="1"/>
  <c r="G118" i="10"/>
  <c r="F118" i="10"/>
  <c r="H109" i="10"/>
  <c r="E102" i="10"/>
  <c r="E96" i="10"/>
  <c r="M90" i="10"/>
  <c r="K90" i="10"/>
  <c r="H90" i="10"/>
  <c r="G90" i="10"/>
  <c r="F90" i="10"/>
  <c r="M85" i="10"/>
  <c r="K85" i="10"/>
  <c r="H85" i="10"/>
  <c r="G85" i="10"/>
  <c r="F85" i="10"/>
  <c r="E69" i="10"/>
  <c r="E63" i="10"/>
  <c r="K57" i="10"/>
  <c r="H57" i="10"/>
  <c r="G57" i="10"/>
  <c r="M57" i="10" s="1"/>
  <c r="F57" i="10"/>
  <c r="H52" i="10"/>
  <c r="G52" i="10"/>
  <c r="F52" i="10"/>
  <c r="H44" i="10"/>
  <c r="E36" i="10"/>
  <c r="E30" i="10"/>
  <c r="M24" i="10"/>
  <c r="K24" i="10"/>
  <c r="H24" i="10"/>
  <c r="G24" i="10"/>
  <c r="F24" i="10"/>
  <c r="H19" i="10"/>
  <c r="G19" i="10"/>
  <c r="F19" i="10"/>
  <c r="H12" i="10"/>
  <c r="H10" i="10"/>
  <c r="I157" i="9"/>
  <c r="H157" i="9"/>
  <c r="G157" i="9"/>
  <c r="F157" i="9"/>
  <c r="K152" i="9"/>
  <c r="I152" i="9"/>
  <c r="H152" i="9"/>
  <c r="G152" i="9"/>
  <c r="F152" i="9"/>
  <c r="M152" i="9" s="1"/>
  <c r="H145" i="9"/>
  <c r="H144" i="9"/>
  <c r="H142" i="9"/>
  <c r="E135" i="9"/>
  <c r="E129" i="9"/>
  <c r="H123" i="9"/>
  <c r="K123" i="9" s="1"/>
  <c r="G123" i="9"/>
  <c r="F123" i="9"/>
  <c r="H118" i="9"/>
  <c r="G118" i="9"/>
  <c r="F118" i="9"/>
  <c r="K118" i="9" s="1"/>
  <c r="H111" i="9"/>
  <c r="H110" i="9"/>
  <c r="E102" i="9"/>
  <c r="E96" i="9"/>
  <c r="H90" i="9"/>
  <c r="G90" i="9"/>
  <c r="F90" i="9"/>
  <c r="M85" i="9"/>
  <c r="K85" i="9"/>
  <c r="H85" i="9"/>
  <c r="G85" i="9"/>
  <c r="F85" i="9"/>
  <c r="H78" i="9"/>
  <c r="H77" i="9"/>
  <c r="H76" i="9"/>
  <c r="E69" i="9"/>
  <c r="E63" i="9"/>
  <c r="H57" i="9"/>
  <c r="G57" i="9"/>
  <c r="F57" i="9"/>
  <c r="H52" i="9"/>
  <c r="K52" i="9" s="1"/>
  <c r="G52" i="9"/>
  <c r="F52" i="9"/>
  <c r="H44" i="9"/>
  <c r="H43" i="9"/>
  <c r="E36" i="9"/>
  <c r="E30" i="9"/>
  <c r="H24" i="9"/>
  <c r="G24" i="9"/>
  <c r="F24" i="9"/>
  <c r="K24" i="9" s="1"/>
  <c r="M19" i="9"/>
  <c r="K19" i="9"/>
  <c r="H19" i="9"/>
  <c r="G19" i="9"/>
  <c r="F19" i="9"/>
  <c r="H10" i="9"/>
  <c r="G105" i="8"/>
  <c r="F105" i="8"/>
  <c r="M105" i="8" s="1"/>
  <c r="G100" i="8"/>
  <c r="F100" i="8"/>
  <c r="G85" i="8"/>
  <c r="F85" i="8"/>
  <c r="O85" i="8" s="1"/>
  <c r="O80" i="8"/>
  <c r="M80" i="8"/>
  <c r="G80" i="8"/>
  <c r="F80" i="8"/>
  <c r="K72" i="8"/>
  <c r="L29" i="20" s="1"/>
  <c r="G65" i="8"/>
  <c r="F65" i="8"/>
  <c r="M60" i="8"/>
  <c r="G60" i="8"/>
  <c r="F60" i="8"/>
  <c r="O60" i="8" s="1"/>
  <c r="O45" i="8"/>
  <c r="M45" i="8"/>
  <c r="G45" i="8"/>
  <c r="F45" i="8"/>
  <c r="G40" i="8"/>
  <c r="F40" i="8"/>
  <c r="O40" i="8" s="1"/>
  <c r="M24" i="8"/>
  <c r="H24" i="8"/>
  <c r="G24" i="8"/>
  <c r="O24" i="8" s="1"/>
  <c r="F24" i="8"/>
  <c r="H19" i="8"/>
  <c r="G19" i="8"/>
  <c r="F19" i="8"/>
  <c r="K11" i="8"/>
  <c r="L23" i="20" s="1"/>
  <c r="O98" i="1"/>
  <c r="K98" i="1"/>
  <c r="J98" i="1"/>
  <c r="I98" i="1"/>
  <c r="H98" i="1"/>
  <c r="G98" i="1"/>
  <c r="F98" i="1"/>
  <c r="M98" i="1" s="1"/>
  <c r="O93" i="1"/>
  <c r="K93" i="1"/>
  <c r="J93" i="1"/>
  <c r="I93" i="1"/>
  <c r="H93" i="1"/>
  <c r="G93" i="1"/>
  <c r="F93" i="1"/>
  <c r="M93" i="1" s="1"/>
  <c r="I73" i="1"/>
  <c r="H73" i="1"/>
  <c r="G73" i="1"/>
  <c r="F73" i="1"/>
  <c r="I68" i="1"/>
  <c r="H68" i="1"/>
  <c r="G68" i="1"/>
  <c r="F68" i="1"/>
  <c r="M68" i="1" s="1"/>
  <c r="I50" i="1"/>
  <c r="H50" i="1"/>
  <c r="G50" i="1"/>
  <c r="F50" i="1"/>
  <c r="I45" i="1"/>
  <c r="H45" i="1"/>
  <c r="G45" i="1"/>
  <c r="K45" i="1" s="1"/>
  <c r="F45" i="1"/>
  <c r="K27" i="1"/>
  <c r="J27" i="1"/>
  <c r="I27" i="1"/>
  <c r="H27" i="1"/>
  <c r="G27" i="1"/>
  <c r="O27" i="1" s="1"/>
  <c r="F27" i="1"/>
  <c r="K22" i="1"/>
  <c r="J22" i="1"/>
  <c r="I22" i="1"/>
  <c r="H22" i="1"/>
  <c r="G22" i="1"/>
  <c r="F22" i="1"/>
  <c r="M22" i="1" s="1"/>
  <c r="K10" i="20" l="1"/>
  <c r="H64" i="20"/>
  <c r="I64" i="20" s="1"/>
  <c r="H56" i="20"/>
  <c r="I56" i="20" s="1"/>
  <c r="K56" i="20" s="1"/>
  <c r="H48" i="20"/>
  <c r="I48" i="20" s="1"/>
  <c r="K48" i="20" s="1"/>
  <c r="H40" i="20"/>
  <c r="I40" i="20" s="1"/>
  <c r="H65" i="20"/>
  <c r="I65" i="20" s="1"/>
  <c r="H57" i="20"/>
  <c r="I57" i="20" s="1"/>
  <c r="H49" i="20"/>
  <c r="I49" i="20" s="1"/>
  <c r="K49" i="20" s="1"/>
  <c r="H41" i="20"/>
  <c r="I41" i="20" s="1"/>
  <c r="K41" i="20" s="1"/>
  <c r="H33" i="20"/>
  <c r="I33" i="20" s="1"/>
  <c r="H17" i="20"/>
  <c r="I17" i="20" s="1"/>
  <c r="K17" i="20" s="1"/>
  <c r="H9" i="20"/>
  <c r="I9" i="20" s="1"/>
  <c r="K9" i="20" s="1"/>
  <c r="K12" i="19"/>
  <c r="L63" i="20" s="1"/>
  <c r="K10" i="7"/>
  <c r="K7" i="5"/>
  <c r="K14" i="1"/>
  <c r="H66" i="20"/>
  <c r="I66" i="20" s="1"/>
  <c r="K66" i="20" s="1"/>
  <c r="H58" i="20"/>
  <c r="I58" i="20" s="1"/>
  <c r="K58" i="20" s="1"/>
  <c r="H50" i="20"/>
  <c r="I50" i="20" s="1"/>
  <c r="K50" i="20" s="1"/>
  <c r="H42" i="20"/>
  <c r="I42" i="20" s="1"/>
  <c r="K42" i="20" s="1"/>
  <c r="H34" i="20"/>
  <c r="I34" i="20" s="1"/>
  <c r="K34" i="20" s="1"/>
  <c r="H18" i="20"/>
  <c r="I18" i="20" s="1"/>
  <c r="K18" i="20" s="1"/>
  <c r="H10" i="20"/>
  <c r="I10" i="20" s="1"/>
  <c r="H2" i="20"/>
  <c r="I2" i="20" s="1"/>
  <c r="K2" i="20" s="1"/>
  <c r="H59" i="20"/>
  <c r="I59" i="20" s="1"/>
  <c r="K59" i="20" s="1"/>
  <c r="H51" i="20"/>
  <c r="I51" i="20" s="1"/>
  <c r="K51" i="20" s="1"/>
  <c r="H43" i="20"/>
  <c r="I43" i="20" s="1"/>
  <c r="K43" i="20" s="1"/>
  <c r="H35" i="20"/>
  <c r="I35" i="20" s="1"/>
  <c r="K35" i="20" s="1"/>
  <c r="H19" i="20"/>
  <c r="I19" i="20" s="1"/>
  <c r="K19" i="20" s="1"/>
  <c r="H11" i="20"/>
  <c r="I11" i="20" s="1"/>
  <c r="K11" i="20" s="1"/>
  <c r="H3" i="20"/>
  <c r="I3" i="20" s="1"/>
  <c r="K3" i="20" s="1"/>
  <c r="K14" i="19"/>
  <c r="K12" i="7"/>
  <c r="K9" i="5"/>
  <c r="K79" i="4"/>
  <c r="K56" i="4"/>
  <c r="K33" i="4"/>
  <c r="L37" i="20" s="1"/>
  <c r="K10" i="4"/>
  <c r="L33" i="20" s="1"/>
  <c r="K81" i="1"/>
  <c r="K58" i="1"/>
  <c r="K35" i="1"/>
  <c r="H60" i="20"/>
  <c r="I60" i="20" s="1"/>
  <c r="K60" i="20" s="1"/>
  <c r="H52" i="20"/>
  <c r="I52" i="20" s="1"/>
  <c r="K52" i="20" s="1"/>
  <c r="H44" i="20"/>
  <c r="I44" i="20" s="1"/>
  <c r="K44" i="20" s="1"/>
  <c r="H36" i="20"/>
  <c r="I36" i="20" s="1"/>
  <c r="H20" i="20"/>
  <c r="I20" i="20" s="1"/>
  <c r="H12" i="20"/>
  <c r="I12" i="20" s="1"/>
  <c r="H4" i="20"/>
  <c r="I4" i="20" s="1"/>
  <c r="K4" i="20" s="1"/>
  <c r="K11" i="19"/>
  <c r="L62" i="20" s="1"/>
  <c r="K84" i="4"/>
  <c r="L50" i="20" s="1"/>
  <c r="K86" i="1"/>
  <c r="L21" i="20" s="1"/>
  <c r="K13" i="1"/>
  <c r="L5" i="20" s="1"/>
  <c r="H62" i="20"/>
  <c r="H54" i="20"/>
  <c r="H61" i="20"/>
  <c r="H53" i="20"/>
  <c r="I53" i="20" s="1"/>
  <c r="K53" i="20" s="1"/>
  <c r="H45" i="20"/>
  <c r="I45" i="20" s="1"/>
  <c r="K45" i="20" s="1"/>
  <c r="H37" i="20"/>
  <c r="H21" i="20"/>
  <c r="H13" i="20"/>
  <c r="H5" i="20"/>
  <c r="K14" i="7"/>
  <c r="L59" i="20" s="1"/>
  <c r="K81" i="4"/>
  <c r="L47" i="20" s="1"/>
  <c r="K58" i="4"/>
  <c r="L43" i="20" s="1"/>
  <c r="K35" i="4"/>
  <c r="L39" i="20" s="1"/>
  <c r="K12" i="4"/>
  <c r="L35" i="20" s="1"/>
  <c r="K83" i="1"/>
  <c r="L18" i="20" s="1"/>
  <c r="K60" i="1"/>
  <c r="L14" i="20" s="1"/>
  <c r="K37" i="1"/>
  <c r="L10" i="20" s="1"/>
  <c r="K10" i="1"/>
  <c r="L2" i="20" s="1"/>
  <c r="H46" i="20"/>
  <c r="H38" i="20"/>
  <c r="I38" i="20" s="1"/>
  <c r="K38" i="20" s="1"/>
  <c r="H55" i="20"/>
  <c r="I55" i="20" s="1"/>
  <c r="K55" i="20" s="1"/>
  <c r="H39" i="20"/>
  <c r="I39" i="20" s="1"/>
  <c r="K39" i="20" s="1"/>
  <c r="H8" i="20"/>
  <c r="I8" i="20" s="1"/>
  <c r="K8" i="20" s="1"/>
  <c r="K10" i="19"/>
  <c r="K15" i="7"/>
  <c r="L60" i="20" s="1"/>
  <c r="K13" i="4"/>
  <c r="L36" i="20" s="1"/>
  <c r="H15" i="20"/>
  <c r="H6" i="20"/>
  <c r="K15" i="19"/>
  <c r="L66" i="20" s="1"/>
  <c r="K85" i="1"/>
  <c r="K38" i="1"/>
  <c r="L11" i="20" s="1"/>
  <c r="K61" i="1"/>
  <c r="L15" i="20" s="1"/>
  <c r="K15" i="1"/>
  <c r="L7" i="20" s="1"/>
  <c r="K83" i="4"/>
  <c r="K36" i="4"/>
  <c r="L40" i="20" s="1"/>
  <c r="K59" i="4"/>
  <c r="L44" i="20" s="1"/>
  <c r="K13" i="19"/>
  <c r="L64" i="20" s="1"/>
  <c r="K13" i="7"/>
  <c r="K82" i="4"/>
  <c r="K11" i="4"/>
  <c r="K84" i="1"/>
  <c r="L19" i="20" s="1"/>
  <c r="K11" i="1"/>
  <c r="L3" i="20" s="1"/>
  <c r="H63" i="20"/>
  <c r="I63" i="20" s="1"/>
  <c r="K63" i="20" s="1"/>
  <c r="H47" i="20"/>
  <c r="I47" i="20" s="1"/>
  <c r="K47" i="20" s="1"/>
  <c r="H16" i="20"/>
  <c r="I16" i="20" s="1"/>
  <c r="K10" i="5"/>
  <c r="K34" i="4"/>
  <c r="L38" i="20" s="1"/>
  <c r="K36" i="1"/>
  <c r="K80" i="4"/>
  <c r="K82" i="1"/>
  <c r="K12" i="1"/>
  <c r="H14" i="20"/>
  <c r="I14" i="20" s="1"/>
  <c r="K14" i="20" s="1"/>
  <c r="H7" i="20"/>
  <c r="I7" i="20" s="1"/>
  <c r="K7" i="20" s="1"/>
  <c r="K11" i="7"/>
  <c r="L56" i="20" s="1"/>
  <c r="K57" i="4"/>
  <c r="L42" i="20" s="1"/>
  <c r="K59" i="1"/>
  <c r="K8" i="5"/>
  <c r="L52" i="20" s="1"/>
  <c r="K25" i="20"/>
  <c r="I15" i="20"/>
  <c r="O22" i="19"/>
  <c r="H32" i="20"/>
  <c r="I32" i="20" s="1"/>
  <c r="H24" i="20"/>
  <c r="I24" i="20" s="1"/>
  <c r="H25" i="20"/>
  <c r="I25" i="20" s="1"/>
  <c r="K93" i="8"/>
  <c r="K10" i="8"/>
  <c r="H26" i="20"/>
  <c r="I26" i="20" s="1"/>
  <c r="K26" i="20" s="1"/>
  <c r="H27" i="20"/>
  <c r="I27" i="20" s="1"/>
  <c r="K27" i="20" s="1"/>
  <c r="K33" i="8"/>
  <c r="K12" i="8"/>
  <c r="H28" i="20"/>
  <c r="I28" i="20" s="1"/>
  <c r="K92" i="8"/>
  <c r="L31" i="20" s="1"/>
  <c r="H29" i="20"/>
  <c r="I29" i="20" s="1"/>
  <c r="K29" i="20" s="1"/>
  <c r="K53" i="8"/>
  <c r="L28" i="20" s="1"/>
  <c r="K15" i="20"/>
  <c r="K24" i="20"/>
  <c r="K28" i="20"/>
  <c r="K32" i="20"/>
  <c r="I37" i="20"/>
  <c r="K37" i="20" s="1"/>
  <c r="K64" i="20"/>
  <c r="M24" i="9"/>
  <c r="M52" i="9"/>
  <c r="M118" i="9"/>
  <c r="M52" i="10"/>
  <c r="K52" i="10"/>
  <c r="Q33" i="4"/>
  <c r="S33" i="4" s="1"/>
  <c r="M17" i="5"/>
  <c r="Q12" i="19"/>
  <c r="S12" i="19" s="1"/>
  <c r="I5" i="20"/>
  <c r="K5" i="20" s="1"/>
  <c r="I21" i="20"/>
  <c r="K21" i="20" s="1"/>
  <c r="H23" i="20"/>
  <c r="I23" i="20" s="1"/>
  <c r="K23" i="20" s="1"/>
  <c r="H31" i="20"/>
  <c r="I31" i="20" s="1"/>
  <c r="O105" i="8"/>
  <c r="M157" i="9"/>
  <c r="K157" i="9"/>
  <c r="O19" i="8"/>
  <c r="M19" i="8"/>
  <c r="K32" i="8"/>
  <c r="L25" i="20" s="1"/>
  <c r="O65" i="8"/>
  <c r="M65" i="8"/>
  <c r="O100" i="8"/>
  <c r="M100" i="8"/>
  <c r="M57" i="9"/>
  <c r="K57" i="9"/>
  <c r="M123" i="9"/>
  <c r="Q10" i="4"/>
  <c r="S10" i="4" s="1"/>
  <c r="Q72" i="8"/>
  <c r="S72" i="8" s="1"/>
  <c r="Q92" i="8"/>
  <c r="S92" i="8" s="1"/>
  <c r="Q53" i="8"/>
  <c r="S53" i="8" s="1"/>
  <c r="Q32" i="8"/>
  <c r="S32" i="8" s="1"/>
  <c r="Q11" i="8"/>
  <c r="S11" i="8" s="1"/>
  <c r="K12" i="20"/>
  <c r="K33" i="20"/>
  <c r="I54" i="20"/>
  <c r="K54" i="20" s="1"/>
  <c r="K65" i="20"/>
  <c r="M123" i="10"/>
  <c r="K123" i="10"/>
  <c r="M90" i="9"/>
  <c r="K90" i="9"/>
  <c r="M24" i="11"/>
  <c r="K24" i="11"/>
  <c r="M22" i="7"/>
  <c r="M27" i="1"/>
  <c r="M45" i="1"/>
  <c r="M73" i="1"/>
  <c r="K52" i="8"/>
  <c r="M118" i="10"/>
  <c r="M43" i="4"/>
  <c r="M71" i="4"/>
  <c r="Q15" i="7"/>
  <c r="S15" i="7" s="1"/>
  <c r="Q84" i="1"/>
  <c r="S84" i="1" s="1"/>
  <c r="Q61" i="1"/>
  <c r="S61" i="1" s="1"/>
  <c r="Q38" i="1"/>
  <c r="S38" i="1" s="1"/>
  <c r="Q11" i="1"/>
  <c r="S11" i="1" s="1"/>
  <c r="Q37" i="1"/>
  <c r="S37" i="1" s="1"/>
  <c r="Q10" i="1"/>
  <c r="S10" i="1" s="1"/>
  <c r="Q15" i="1"/>
  <c r="S15" i="1" s="1"/>
  <c r="K31" i="20"/>
  <c r="K40" i="20"/>
  <c r="I61" i="20"/>
  <c r="K61" i="20" s="1"/>
  <c r="Q11" i="19"/>
  <c r="S11" i="19" s="1"/>
  <c r="Q59" i="4"/>
  <c r="S59" i="4" s="1"/>
  <c r="Q36" i="4"/>
  <c r="S36" i="4" s="1"/>
  <c r="Q13" i="4"/>
  <c r="S13" i="4" s="1"/>
  <c r="Q12" i="4"/>
  <c r="S12" i="4" s="1"/>
  <c r="I6" i="20"/>
  <c r="K6" i="20" s="1"/>
  <c r="K16" i="20"/>
  <c r="H30" i="20"/>
  <c r="I30" i="20" s="1"/>
  <c r="K30" i="20" s="1"/>
  <c r="K36" i="20"/>
  <c r="M50" i="1"/>
  <c r="K50" i="1"/>
  <c r="M25" i="4"/>
  <c r="O27" i="7"/>
  <c r="I13" i="20"/>
  <c r="K13" i="20" s="1"/>
  <c r="H22" i="20"/>
  <c r="I22" i="20" s="1"/>
  <c r="K22" i="20" s="1"/>
  <c r="O22" i="1"/>
  <c r="K68" i="1"/>
  <c r="M40" i="8"/>
  <c r="K73" i="8"/>
  <c r="M85" i="8"/>
  <c r="M19" i="10"/>
  <c r="K19" i="10"/>
  <c r="K66" i="4"/>
  <c r="O22" i="7"/>
  <c r="K20" i="20"/>
  <c r="I46" i="20"/>
  <c r="K46" i="20" s="1"/>
  <c r="K57" i="20"/>
  <c r="I62" i="20"/>
  <c r="K62" i="20" s="1"/>
  <c r="K73" i="1"/>
  <c r="H11" i="9"/>
  <c r="H45" i="9"/>
  <c r="H111" i="10"/>
  <c r="H145" i="10"/>
  <c r="K25" i="4"/>
  <c r="K48" i="4"/>
  <c r="K71" i="4"/>
  <c r="Q8" i="5"/>
  <c r="S8" i="5" s="1"/>
  <c r="Q11" i="7"/>
  <c r="S11" i="7" s="1"/>
  <c r="H12" i="9"/>
  <c r="H76" i="10"/>
  <c r="Q81" i="4"/>
  <c r="S81" i="4" s="1"/>
  <c r="Q14" i="7"/>
  <c r="S14" i="7" s="1"/>
  <c r="H43" i="10"/>
  <c r="H77" i="10"/>
  <c r="Q84" i="4"/>
  <c r="S84" i="4" s="1"/>
  <c r="H109" i="9"/>
  <c r="H143" i="9"/>
  <c r="H11" i="10"/>
  <c r="L8" i="20" l="1"/>
  <c r="Q35" i="1"/>
  <c r="S35" i="1" s="1"/>
  <c r="Q83" i="1"/>
  <c r="S83" i="1" s="1"/>
  <c r="L32" i="20"/>
  <c r="Q93" i="8"/>
  <c r="S93" i="8" s="1"/>
  <c r="Q60" i="1"/>
  <c r="S60" i="1" s="1"/>
  <c r="L65" i="20"/>
  <c r="Q14" i="19"/>
  <c r="S14" i="19" s="1"/>
  <c r="L30" i="20"/>
  <c r="Q73" i="8"/>
  <c r="S73" i="8" s="1"/>
  <c r="Q12" i="1"/>
  <c r="S12" i="1" s="1"/>
  <c r="L4" i="20"/>
  <c r="L16" i="20"/>
  <c r="Q81" i="1"/>
  <c r="S81" i="1" s="1"/>
  <c r="Q7" i="5"/>
  <c r="S7" i="5" s="1"/>
  <c r="L51" i="20"/>
  <c r="Q13" i="19"/>
  <c r="S13" i="19" s="1"/>
  <c r="Q35" i="4"/>
  <c r="S35" i="4" s="1"/>
  <c r="Q13" i="1"/>
  <c r="S13" i="1" s="1"/>
  <c r="Q57" i="4"/>
  <c r="S57" i="4" s="1"/>
  <c r="L17" i="20"/>
  <c r="Q82" i="1"/>
  <c r="S82" i="1" s="1"/>
  <c r="L49" i="20"/>
  <c r="Q83" i="4"/>
  <c r="S83" i="4" s="1"/>
  <c r="L55" i="20"/>
  <c r="Q10" i="7"/>
  <c r="S10" i="7" s="1"/>
  <c r="L57" i="20"/>
  <c r="Q12" i="7"/>
  <c r="S12" i="7" s="1"/>
  <c r="L22" i="20"/>
  <c r="Q10" i="8"/>
  <c r="S10" i="8" s="1"/>
  <c r="L12" i="20"/>
  <c r="Q58" i="1"/>
  <c r="S58" i="1" s="1"/>
  <c r="L6" i="20"/>
  <c r="Q14" i="1"/>
  <c r="S14" i="1" s="1"/>
  <c r="Q15" i="19"/>
  <c r="S15" i="19" s="1"/>
  <c r="Q58" i="4"/>
  <c r="S58" i="4" s="1"/>
  <c r="Q86" i="1"/>
  <c r="S86" i="1" s="1"/>
  <c r="L46" i="20"/>
  <c r="Q80" i="4"/>
  <c r="S80" i="4" s="1"/>
  <c r="L24" i="20"/>
  <c r="Q12" i="8"/>
  <c r="S12" i="8" s="1"/>
  <c r="L13" i="20"/>
  <c r="Q59" i="1"/>
  <c r="S59" i="1" s="1"/>
  <c r="L9" i="20"/>
  <c r="Q36" i="1"/>
  <c r="S36" i="1" s="1"/>
  <c r="L34" i="20"/>
  <c r="Q11" i="4"/>
  <c r="S11" i="4" s="1"/>
  <c r="L61" i="20"/>
  <c r="Q10" i="19"/>
  <c r="S10" i="19" s="1"/>
  <c r="L41" i="20"/>
  <c r="Q56" i="4"/>
  <c r="S56" i="4" s="1"/>
  <c r="Q52" i="8"/>
  <c r="S52" i="8" s="1"/>
  <c r="L27" i="20"/>
  <c r="L54" i="20"/>
  <c r="Q10" i="5"/>
  <c r="S10" i="5" s="1"/>
  <c r="L58" i="20"/>
  <c r="Q13" i="7"/>
  <c r="S13" i="7" s="1"/>
  <c r="Q85" i="1"/>
  <c r="S85" i="1" s="1"/>
  <c r="L20" i="20"/>
  <c r="L53" i="20"/>
  <c r="Q9" i="5"/>
  <c r="S9" i="5" s="1"/>
  <c r="Q33" i="8"/>
  <c r="S33" i="8" s="1"/>
  <c r="L26" i="20"/>
  <c r="L45" i="20"/>
  <c r="Q79" i="4"/>
  <c r="S79" i="4" s="1"/>
  <c r="Q34" i="4"/>
  <c r="S34" i="4" s="1"/>
  <c r="Q82" i="4"/>
  <c r="S82" i="4" s="1"/>
  <c r="L48" i="20"/>
</calcChain>
</file>

<file path=xl/sharedStrings.xml><?xml version="1.0" encoding="utf-8"?>
<sst xmlns="http://schemas.openxmlformats.org/spreadsheetml/2006/main" count="2310" uniqueCount="343">
  <si>
    <t>Prälithiierte Vollzellen (10µm) die den Vollfaktoriellen Versuchsplan des Prälithiierungsgrades in Abhängigkeit der Prälithiierungsdauer untersuchen</t>
  </si>
  <si>
    <t>Prälithiiert - 10µm - 1h Stunde</t>
  </si>
  <si>
    <t>Atmosphäre während der Prälithiierung:</t>
  </si>
  <si>
    <r>
      <t>O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 &lt;2 ppm</t>
    </r>
  </si>
  <si>
    <r>
      <t>H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O: &lt;2 ppm</t>
    </r>
  </si>
  <si>
    <t xml:space="preserve">Atmosphäre während der Assemblierung: </t>
  </si>
  <si>
    <r>
      <t>O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 &lt;1,0 ppm</t>
    </r>
  </si>
  <si>
    <t>df_MH_MA_VZ_3,8_10µm_1h_5</t>
  </si>
  <si>
    <t>1. Anode:</t>
  </si>
  <si>
    <t>g</t>
  </si>
  <si>
    <t>1. Kathode:</t>
  </si>
  <si>
    <t>berechnete/theoretische Zellkapazität:</t>
  </si>
  <si>
    <t>mAh</t>
  </si>
  <si>
    <t>Kapazität nach der Formierung:</t>
  </si>
  <si>
    <t>N:P-Verhältnis:</t>
  </si>
  <si>
    <t>Lithiierung der Anode:</t>
  </si>
  <si>
    <t>df_MH_MA_VZ_3,8_10µm_1h_6</t>
  </si>
  <si>
    <t>2. Anode:</t>
  </si>
  <si>
    <t>2. Kathode:</t>
  </si>
  <si>
    <t>df_MH_MA_VZ_3,8_10µm_1h_9</t>
  </si>
  <si>
    <t>3. Anode:</t>
  </si>
  <si>
    <t>3. Kathode:</t>
  </si>
  <si>
    <t>df_MH_MA_VZ_3,8_10µm_1h_10</t>
  </si>
  <si>
    <t>4.Anode:</t>
  </si>
  <si>
    <t>4. Kathode:</t>
  </si>
  <si>
    <t>df_MH_MA_VZ_3,8_10µm_1h_11</t>
  </si>
  <si>
    <t>5.Anode:</t>
  </si>
  <si>
    <t>5.Kathode:</t>
  </si>
  <si>
    <t>df_MH_MA_VZ_3,8_10µm_1h_12</t>
  </si>
  <si>
    <t>6.Anode:</t>
  </si>
  <si>
    <t>6.Kathode:</t>
  </si>
  <si>
    <t>Coulombsche Wirkungsgrade:</t>
  </si>
  <si>
    <t>1. Zelle</t>
  </si>
  <si>
    <t xml:space="preserve">2. Zelle </t>
  </si>
  <si>
    <t>3. Zelle</t>
  </si>
  <si>
    <t>4. Zelle</t>
  </si>
  <si>
    <t>5. Zelle</t>
  </si>
  <si>
    <t>6.Zelle</t>
  </si>
  <si>
    <t>1. Laden (CC):</t>
  </si>
  <si>
    <t>2. Laden (CV):</t>
  </si>
  <si>
    <t>1. Entladen (CC):</t>
  </si>
  <si>
    <t>Standardabweichung</t>
  </si>
  <si>
    <t>Coulombscher Wirkungsgrad:</t>
  </si>
  <si>
    <t>Durchschnittlicher ICE:</t>
  </si>
  <si>
    <t>3. Laden (CC):</t>
  </si>
  <si>
    <t>4. Laden (CV):</t>
  </si>
  <si>
    <t>2. Entladen (CC):</t>
  </si>
  <si>
    <t>Prälithiiert - 10µm - 24h Stunden</t>
  </si>
  <si>
    <t>df_MH_MA_VZ_3,8_10µm_24h_1</t>
  </si>
  <si>
    <t>Diese Zelle zeigt eine unterdurchschnittliche Performance im Lebensdauertest und wird aus diesem Grund nicht für diese Auswertung herangezogen.</t>
  </si>
  <si>
    <t>df_MH_MA_VZ_3,8_10µm_24h_2</t>
  </si>
  <si>
    <t>df_MH_MA_VZ_3,8_10µm_24h_3</t>
  </si>
  <si>
    <t>df_MH_MA_VZ_3,8_10µm_24h_4</t>
  </si>
  <si>
    <t>Prälithiiert - 10µm - 48h Stunden</t>
  </si>
  <si>
    <t>df_MH_MA_VZ_3,8_10µm_48h_1</t>
  </si>
  <si>
    <t>df_MH_MA_VZ_3,8_10µm_48h_2</t>
  </si>
  <si>
    <t>df_MH_MA_VZ_3,8_10µm_48h_3</t>
  </si>
  <si>
    <t>df_MH_MA_VZ_3,8_10µm_48h_4</t>
  </si>
  <si>
    <t>Prälithiiert - 10µm - 168h Stunden</t>
  </si>
  <si>
    <t>df_MH_MA_VZ_3,8_10µm_168h_1</t>
  </si>
  <si>
    <t>df_MH_MA_VZ_3,8_10µm_168h_2</t>
  </si>
  <si>
    <t>df_MH_MA_VZ_3,8_10µm_168h_3</t>
  </si>
  <si>
    <t>df_MH_MA_VZ_3,8_10µm_168h_4</t>
  </si>
  <si>
    <t>df_MH_MA_VZ_3,8_10µm_168h_5</t>
  </si>
  <si>
    <t>df_MH_MA_VZ_3,8_10µm_168h_6</t>
  </si>
  <si>
    <t>Pouchzellen zur Untersuchung der Auswirkungen unterschiedlicher Prälithiierungsdrücke</t>
  </si>
  <si>
    <t>Unprälithiiert - 0,2MPa - 48h</t>
  </si>
  <si>
    <t>df_MH_VZ_PZ_3,8_Ref_48h_1</t>
  </si>
  <si>
    <t>df_MH_VZ_PZ_3,8_Ref_48h_2</t>
  </si>
  <si>
    <t>df_MH_VZ_PZ_3,8_Ref_48h_3</t>
  </si>
  <si>
    <t>Prälithiiert - 0MPa - 48h</t>
  </si>
  <si>
    <t>df_MH_VZ_PZ_3,8_10µm_48h_0b_1</t>
  </si>
  <si>
    <t>df_MH_VZ_PZ_3,8_10µm_48h_0b_2</t>
  </si>
  <si>
    <t>Prälithiiert - 1MPa - 48h</t>
  </si>
  <si>
    <t>df_MH_VZ_PZ_3,8_10µm_48h_1b_1</t>
  </si>
  <si>
    <t>df_MH_VZ_PZ_3,8_10µm_48h_1b_2</t>
  </si>
  <si>
    <t>Prälithiiert - 2MPa - 48h</t>
  </si>
  <si>
    <t>df_MH_VZ_PZ_3,8_10µm_48h_2b_1</t>
  </si>
  <si>
    <t>df_MH_VZ_PZ_3,8_10µm_48h_2b_2</t>
  </si>
  <si>
    <t>Prälithiiert - 3MPa - 48h</t>
  </si>
  <si>
    <t>df_MH_VZ_PZ_3,8_10µm_48h_3b_1</t>
  </si>
  <si>
    <t>df_MH_VZ_PZ_3,8_10µm_48h_3b_2</t>
  </si>
  <si>
    <t>Halbzellen zur Untersuchung der Auswirkungen unterschiedlicher Prälithiierungsgrade in Abhängigkeit der Prälithiierungsdauer (10µm)</t>
  </si>
  <si>
    <t>Prälithiiert - 10µm - 0h Stunden (2 min)</t>
  </si>
  <si>
    <r>
      <t>O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 &lt;12,0 ppm</t>
    </r>
  </si>
  <si>
    <t>df_MH_MA_VV_HZ_Prä_0h_1</t>
  </si>
  <si>
    <t>theoretische Kapazität der Anode:</t>
  </si>
  <si>
    <t>df_MH_MA_VV_HZ_Prä_0h_2</t>
  </si>
  <si>
    <t>df_MH_MA_VV_HZ_Prä_0h_3</t>
  </si>
  <si>
    <t>Niedrigste Spannungswerte der Halbzellen</t>
  </si>
  <si>
    <t>V</t>
  </si>
  <si>
    <t>Mittelwert:</t>
  </si>
  <si>
    <t>h</t>
  </si>
  <si>
    <t>df_MH_MA_VV_HZ_Prä_24h_1</t>
  </si>
  <si>
    <t>df_MH_MA_VV_HZ_Prä_24h_2</t>
  </si>
  <si>
    <t>df_MH_MA_VV_HZ_Prä_24h_3</t>
  </si>
  <si>
    <t>df_MH_MA_VV_HZ_Prä_48h_1</t>
  </si>
  <si>
    <t>df_MH_MA_VV_HZ_Prä_48h_2</t>
  </si>
  <si>
    <t>df_MH_MA_VV_HZ_Prä_48h_3</t>
  </si>
  <si>
    <t>Prälithiiert - 10µm - 72h Stunden</t>
  </si>
  <si>
    <t>df_MH_MA_VV_HZ_Prä_72h_1</t>
  </si>
  <si>
    <t>df_MH_MA_VV_HZ_Prä_72h_2</t>
  </si>
  <si>
    <t>df_MH_MA_VV_HZ_Prä_72h_3</t>
  </si>
  <si>
    <t>df_MH_MA_VV_HZ_Prä_168h_1</t>
  </si>
  <si>
    <t>df_MH_MA_VV_HZ_Prä_168h_2</t>
  </si>
  <si>
    <t>df_MH_MA_VV_HZ_Prä_168h_3</t>
  </si>
  <si>
    <t>df_MH_MA_VV_HZ_Prä_168h_4</t>
  </si>
  <si>
    <t>4. Anode</t>
  </si>
  <si>
    <t>3. Anode</t>
  </si>
  <si>
    <t>4. Anode:</t>
  </si>
  <si>
    <t>Halbzellen zur Untersuchung der Auswirkungen unterschiedlicher Prälithiierungsgrade in Abhängigkeit der Prälithiierungsdauer (5µm)</t>
  </si>
  <si>
    <t>Prälithiiert - 5µm - 0h Stunden (2 min)</t>
  </si>
  <si>
    <t>df_MH_MA_VV_HZ_Prä_0h_5_1</t>
  </si>
  <si>
    <t>df_MH_MA_VV_HZ_Prä_0h_5_2</t>
  </si>
  <si>
    <t>df_MH_MA_VV_HZ_Prä_0h_5_3</t>
  </si>
  <si>
    <t>Prälithiiert - 5µm - 24h Stunden</t>
  </si>
  <si>
    <t>df_MH_MA_VV_HZ_Prä_24h_5_1</t>
  </si>
  <si>
    <t>df_MH_MA_VV_HZ_Prä_24h_5_2</t>
  </si>
  <si>
    <t>df_MH_MA_VV_HZ_Prä_24h_5_3</t>
  </si>
  <si>
    <t>Prälithiiert - 5µm - 48h Stunden</t>
  </si>
  <si>
    <t>df_MH_MA_VV_HZ_Prä_48h_5_1</t>
  </si>
  <si>
    <t>df_MH_MA_VV_HZ_Prä_48h_5_2</t>
  </si>
  <si>
    <t>df_MH_MA_VV_HZ_Prä_48h_5_3</t>
  </si>
  <si>
    <t>Diese Zelle wird nicht verwendet, da sie während des ersten ladevorgang 10h negative Spannungswerte aufweist.</t>
  </si>
  <si>
    <t>Prälithiiert - 5µm - 72h Stunden</t>
  </si>
  <si>
    <t>df_MH_MA_VV_HZ_Prä_72h_5_1</t>
  </si>
  <si>
    <t>df_MH_MA_VV_HZ_Prä_72h_5_2</t>
  </si>
  <si>
    <t>df_MH_MA_VV_HZ_Prä_72h_5_3</t>
  </si>
  <si>
    <t>Prälithiiert - 5µm - 168h Stunden</t>
  </si>
  <si>
    <t>df_MH_MA_VV_HZ_Prä_168h_5_1</t>
  </si>
  <si>
    <t>df_MH_MA_VV_HZ_Prä_168h_5_2</t>
  </si>
  <si>
    <t>df_MH_MA_VV_HZ_Prä_168h_5_3</t>
  </si>
  <si>
    <t>df_MH_MA_VV_HZ_Prä_168h_5_4</t>
  </si>
  <si>
    <t xml:space="preserve">Unprälithiierte Referenzhalbzellen zur Untersuchung der Auswirkungen unterschiedlicher Prälithiierungsgrade in Abhängigkeit der Prälithiierungsdauer </t>
  </si>
  <si>
    <t>Diese Ref-Zellen schaffen einen Bezug inwieweit sich die Prälithiierung auf die Formierung auswirkt</t>
  </si>
  <si>
    <t>Unprälithiiert - Ref - 0h Stunden (2 min)</t>
  </si>
  <si>
    <t>Halbzellen zur Untersuchung der Veränderung des internen Zellwiderstandes zur PEIS-Messungen über einen Zeitraum von 336 Stunden (10 µm) bei einer Temperatur von 25°C</t>
  </si>
  <si>
    <t>Prälithiiert - 10µm - PEIS-Messungen mittels der BioLogic (VSP-3e)</t>
  </si>
  <si>
    <t>df_MH_MA_VV_HZ_EIS_10µm_3,8mAh_1</t>
  </si>
  <si>
    <t>df_MH_MA_VV_HZ_EIS_10µm_3,8mAh_2</t>
  </si>
  <si>
    <t>Nicht verwendet, da die Zelle früher gestoppt wurde</t>
  </si>
  <si>
    <t>df_MH_MA_VV_HZ_EIS_10µm_3,8mAh_3</t>
  </si>
  <si>
    <t>df_MH_MA_VV_HZ_EIS_10µm_3,8mAh_4</t>
  </si>
  <si>
    <t>Halbzellen zur Untersuchung der Veränderung des internen Zellwiderstandes zur PEIS-Messungen über einen Zeitraum von 336 Stunden (5 µm) bei einer Temperatur von 25°C</t>
  </si>
  <si>
    <t>Prälithiiert - 5µm - PEIS-Messungen mittels der BioLogic (VSP-3e)</t>
  </si>
  <si>
    <t>df_MH_MA_VV_HZ_EIS_5µm_3,8mAh_1</t>
  </si>
  <si>
    <t>df_MH_MA_VV_HZ_EIS_5µm_3,8mAh_2</t>
  </si>
  <si>
    <t>Nicht verwendet weil diese Zelle früher gestoppt wurde</t>
  </si>
  <si>
    <t>df_MH_MA_VV_HZ_EIS_5µm_3,8mAh_3</t>
  </si>
  <si>
    <t>df_MH_MA_VV_HZ_EIS_5µm_3,8mAh_4</t>
  </si>
  <si>
    <t>Halbzellen zur Untersuchung der Veränderung des internen Zellwiderstandes zur PEIS-Messungen über einen Zeitraum von 300 Stunden (10 µm) bei einer Temperatur von 35°C</t>
  </si>
  <si>
    <t>Prälithiiert - 10µm - PEIS-Messungen mittels der BioLogic (VSP-3e) bei einer erhöhten Temperatur von 35°C</t>
  </si>
  <si>
    <t>df_MH_MA_VV_HZ_EIS_10µm_3,8mAh_35°C_1</t>
  </si>
  <si>
    <t>df_MH_MA_VV_HZ_EIS_10µm_3,8mAh_35°C_2</t>
  </si>
  <si>
    <t>df_MH_MA_VV_HZ_EIS_10µm_3,8mAh_35°C_3</t>
  </si>
  <si>
    <t>df_MH_MA_VV_HZ_EIS_10µm_3,8mAh_35°C_4</t>
  </si>
  <si>
    <t>Unprälithiierte Referenzhalbzellen zur Untersuchung der Veränderung des internen Zellwiderstandes zur PEIS-Messungen über einen Zeitraum von 336 Stunden bei einer Temperatur von 25°C</t>
  </si>
  <si>
    <t>Unprälithiiert - PEIS-Messungen mittels der BioLogic (VSP-3e) bei einer gängigen Temperatur von 25°C</t>
  </si>
  <si>
    <t>df_MH_MA_VV_HZ_EIS_Ref_Unpräli_3,8mAh_1</t>
  </si>
  <si>
    <t>df_MH_MA_VV_HZ_EIS_Ref_Unpräli_3,8mAh_2</t>
  </si>
  <si>
    <t>df_MH_MA_VV_HZ_EIS_Ref_Unpräli_3,8mAh_3</t>
  </si>
  <si>
    <t>df_MH_MA_VV_HZ_EIS_Ref_Unpräli_3,8mAh_4</t>
  </si>
  <si>
    <t>Untersuchung der Veränderung des zellinternen Widerstandes prälithiierter (10µm) Vollzellen bei einer gängigen Temperatur von 25°C</t>
  </si>
  <si>
    <t>Prälithiiert - 10µm - PEIS-Messungen mittels der BioLogic (BCS-910) bei einer gängigen Temperatur von 25°C</t>
  </si>
  <si>
    <r>
      <t>O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 1,0 ppm</t>
    </r>
  </si>
  <si>
    <t>2026-01-02_19-42-21_df_MA_Hüesker_df_MH_MA_VZ_3.8_SiG_NCA_1_C.1</t>
  </si>
  <si>
    <t>2026-01-02_19-42-21_df_MA_Hüesker_df_MH_MA_VZ_3.8_SiG_NCA_2.1_C.2</t>
  </si>
  <si>
    <t>2026-01-02_19-42-21_df_MA_Hüesker_df_MH_MA_VZ_3.8_SiG_NCA_3_C.3</t>
  </si>
  <si>
    <t>2026-01-02_19-42-21_df_MA_Hüesker_df_MH_MA_VZ_3.8_SiG_NCA_4_C.4</t>
  </si>
  <si>
    <t>Untersuchung der Veränderung des zellinternen Widerstandes prälithiierter (5µm) Vollzellen bei einer gängigen Temperatur von 25°C</t>
  </si>
  <si>
    <t>Prälithiiert - 5µm - PEIS-Messungen mittels der BioLogic (BCS-910) bei einer gängigen Temperatur von 25°C</t>
  </si>
  <si>
    <t>2026-01-02_19-42-21_df_MA_Hüesker_df_MH_MA_VZ_3.8_5µm_SiG_NCA_3_C.7</t>
  </si>
  <si>
    <t>2026-01-02_19-42-21_df_MA_Hüesker_df_MH_MA_VZ_3.8_5µm_SiG_NCA_4_C.8</t>
  </si>
  <si>
    <t>2026-01-02_19-42-21_df_MA_Hüesker_df_MH_MA_VZ_3.8_5µm_SiG_NCA_5_C.5</t>
  </si>
  <si>
    <t>2026-01-02_19-42-21_df_MA_Hüesker_df_MH_MA_VZ_3.8_5µm_SiG_NCA_6_C.6</t>
  </si>
  <si>
    <t>Halbzellen zur Untersuchung der Veränderung des internen Zellwiderstandes zur PEIS-Messungen über einen Zeitraum von 300 Stunden (5 µm) bei einer Temperatur von 35°C</t>
  </si>
  <si>
    <t>Prälithiiert - 5µm - PEIS-Messungen mittels der BioLogic (VSP-3e) bei einer erhöhten Temperatur von 35°C</t>
  </si>
  <si>
    <t>df_MH_MA_VV_HZ_EIS_5µm_3,8mAh_35°C_1</t>
  </si>
  <si>
    <t>df_MH_MA_VV_HZ_EIS_5µm_3,8mAh_35°C_2</t>
  </si>
  <si>
    <t>df_MH_MA_VV_HZ_EIS_5µm_3,8mAh_35°C_3</t>
  </si>
  <si>
    <t>df_MH_MA_VV_HZ_EIS_5µm_3,8mAh_35°C_4</t>
  </si>
  <si>
    <t>Prälithiierte Vollzellen (5µm) die den Vollfaktoriellen Versuchsplan des Prälithiierungsgrades in Abhängigkeit der Prälithiierungsdauer untersuchen</t>
  </si>
  <si>
    <t>Prälithiiert - 5µm - 1h Stunden</t>
  </si>
  <si>
    <t>df_MH_MA_VZ_3,8_5µm_1h_1</t>
  </si>
  <si>
    <t>df_MH_MA_VZ_3,8_5µm_1h_2</t>
  </si>
  <si>
    <t>df_MH_MA_VZ_3,8_5µm_1h_3</t>
  </si>
  <si>
    <t>df_MH_MA_VZ_3,8_5µm_1h_4</t>
  </si>
  <si>
    <t>df_MH_MA_VZ_3,8_5µm_24h_1</t>
  </si>
  <si>
    <t>df_MH_MA_VZ_3,8_5µm_24h_2</t>
  </si>
  <si>
    <t>df_MH_MA_VZ_3,8_5µm_24h_3</t>
  </si>
  <si>
    <t>df_MH_MA_VZ_3,8_5µm_24h_4</t>
  </si>
  <si>
    <t>Diese Zelle wurde beim Reparieren des Coincellrechners frühzeitig gestoppt. Aus diesem Grund wird sie auch nicht für die Betrachtung der Formierung herangezogen</t>
  </si>
  <si>
    <t>df_MH_MA_VZ_3,8_5µm_48h_1</t>
  </si>
  <si>
    <t>df_MH_MA_VZ_3,8_5µm_48h_2</t>
  </si>
  <si>
    <t>df_MH_MA_VZ_3,8_5µm_48h_3</t>
  </si>
  <si>
    <t>df_MH_MA_VZ_3,8_5µm_48h_4</t>
  </si>
  <si>
    <t>df_MH_MA_VZ_3,8_5µm_168h_1</t>
  </si>
  <si>
    <t>df_MH_MA_VZ_3,8_5µm_168h_2</t>
  </si>
  <si>
    <t>df_MH_MA_VZ_3,8_5µm_168h_3</t>
  </si>
  <si>
    <t>df_MH_MA_VZ_3,8_5µm_168h_4</t>
  </si>
  <si>
    <t>df_MH_MA_VZ_3,8_5µm_168h_5</t>
  </si>
  <si>
    <t>df_MH_MA_VZ_3,8_5µm_168h_6</t>
  </si>
  <si>
    <t>Unprälithiierte Referenzvollzellen die den Vollfaktoriellen Versuchsplan des Prälithiierungsgrades in Abhängigkeit der Prälithiierungsdauer untersuchen</t>
  </si>
  <si>
    <t>Diese sollen Bezug geben, inwieweit die Zellperformance durch die Direktkontakt-Prälithiierung verbessert werden kann</t>
  </si>
  <si>
    <t>df_MH_MA_VZ_3,8_Ref_1h_5</t>
  </si>
  <si>
    <t>df_MH_MA_VZ_3,8_Ref_1h_6</t>
  </si>
  <si>
    <t>df_MH_MA_VZ_3,8_Ref_1h_7</t>
  </si>
  <si>
    <t>df_MH_MA_VZ_3,8_Ref_1h_8</t>
  </si>
  <si>
    <t>Prälithiierte Vollzellen (10µm) die den Einfluss einer erhöhten Prälithiierungstemepratur (35°C) während der Prälithiierungsdauer und der Formierung untersuchen</t>
  </si>
  <si>
    <t>Prälithiiert - 10µm - 48h Stunden - 35°C</t>
  </si>
  <si>
    <t>df_MH_MA_VZ_3,8_10µm_48h_35°C_1</t>
  </si>
  <si>
    <t>df_MH_MA_VZ_3,8_10µm_48h_35°C_2</t>
  </si>
  <si>
    <t>df_MH_MA_VZ_3,8_10µm_48h_35°C_3</t>
  </si>
  <si>
    <t>df_MH_MA_VZ_3,8_10µm_48h_35°C_4</t>
  </si>
  <si>
    <t>df_MH_MA_VZ_3,8_10µm_48h_35°C_5</t>
  </si>
  <si>
    <t>df_MH_MA_VZ_3,8_10µm_48h_35°C_6</t>
  </si>
  <si>
    <t>Prälithiierte Vollzellen (5µm) die den Einfluss einer erhöhten Prälithiierungstemepratur (35°C) während der Prälithiierungsdauer und der Formierung untersuchen</t>
  </si>
  <si>
    <t>Prälithiiert - 5µm - 48h Stunden - 35°C</t>
  </si>
  <si>
    <t>df_MH_MA_VZ_3,8_5µm_48h_35°C_1</t>
  </si>
  <si>
    <t>df_MH_MA_VZ_3,8_5µm_48h_35°C_2</t>
  </si>
  <si>
    <t>df_MH_MA_VZ_3,8_5µm_48h_35°C_3</t>
  </si>
  <si>
    <t>df_MH_MA_VZ_3,8_5µm_48h_35°C_4</t>
  </si>
  <si>
    <t>df_MH_MA_VZ_3,8_5µm_48h_35°C_5</t>
  </si>
  <si>
    <t>5. Anode:</t>
  </si>
  <si>
    <t>df_MH_MA_VZ_3,8_5µm_48h_35°C_6</t>
  </si>
  <si>
    <t>6. Anode:</t>
  </si>
  <si>
    <t xml:space="preserve">Anodematerial (Si/G): </t>
  </si>
  <si>
    <t>CLM0001</t>
  </si>
  <si>
    <t>Si: 69,7 %</t>
  </si>
  <si>
    <t>C: 19,9 %</t>
  </si>
  <si>
    <t>Super-C65: 2,0 %</t>
  </si>
  <si>
    <t>LiPAA: 8,2 %</t>
  </si>
  <si>
    <t>CMC: 0,2 %</t>
  </si>
  <si>
    <t>Kathodenmaterial (NAC):</t>
  </si>
  <si>
    <t>Excel TUM</t>
  </si>
  <si>
    <t>NCA-7051-b: 96%</t>
  </si>
  <si>
    <t>-</t>
  </si>
  <si>
    <t>PVDF: 2,0 %</t>
  </si>
  <si>
    <t>Spezifische Kapazität:</t>
  </si>
  <si>
    <t>Anode (Si/G):</t>
  </si>
  <si>
    <t>spezifische Flächenkapazität:</t>
  </si>
  <si>
    <r>
      <t>mAh/cm</t>
    </r>
    <r>
      <rPr>
        <sz val="11"/>
        <color theme="1"/>
        <rFont val="Calibri"/>
        <family val="2"/>
        <scheme val="minor"/>
      </rPr>
      <t>2</t>
    </r>
  </si>
  <si>
    <t>Genutze Anodenkapazität:</t>
  </si>
  <si>
    <t>Genutze Lithiierungsgrad:</t>
  </si>
  <si>
    <t>%</t>
  </si>
  <si>
    <t>spezifische Massenkapazität:</t>
  </si>
  <si>
    <t>mAh/mg</t>
  </si>
  <si>
    <t>spezifische genutze Massenkapazität:</t>
  </si>
  <si>
    <t>Dichte Kupferarbleiter:</t>
  </si>
  <si>
    <r>
      <t>g/cm</t>
    </r>
    <r>
      <rPr>
        <sz val="11"/>
        <color theme="1"/>
        <rFont val="Calibri"/>
        <family val="2"/>
        <scheme val="minor"/>
      </rPr>
      <t>3</t>
    </r>
  </si>
  <si>
    <t>Durchmesser Anode:</t>
  </si>
  <si>
    <t>mm</t>
  </si>
  <si>
    <t>Fläche Anode (CR2032):</t>
  </si>
  <si>
    <r>
      <t>cm</t>
    </r>
    <r>
      <rPr>
        <sz val="11"/>
        <color theme="1"/>
        <rFont val="Calibri"/>
        <family val="2"/>
        <scheme val="minor"/>
      </rPr>
      <t>2</t>
    </r>
  </si>
  <si>
    <t>Theoretische Kapazität der Anode:</t>
  </si>
  <si>
    <t>Dicke Kupferableiter:</t>
  </si>
  <si>
    <t>µm</t>
  </si>
  <si>
    <t>Masse Kupferableiter:</t>
  </si>
  <si>
    <t>mg</t>
  </si>
  <si>
    <t>Kathode (NAC):</t>
  </si>
  <si>
    <t>mAh/cm2</t>
  </si>
  <si>
    <t>Dichte Aluminiumableiter:</t>
  </si>
  <si>
    <t>Durchmesser Kathode</t>
  </si>
  <si>
    <t>Fläche Kathode (CR2032):</t>
  </si>
  <si>
    <t>Dicke Aluminiumableiter:</t>
  </si>
  <si>
    <t>Masse Aluminiumableiter:</t>
  </si>
  <si>
    <t>Kathode (NMC811) - Pouch:</t>
  </si>
  <si>
    <t>Dimensionen Kathode</t>
  </si>
  <si>
    <t>30 x 30</t>
  </si>
  <si>
    <t>Fläche Al-Kathode (Pouchzelle):</t>
  </si>
  <si>
    <t>Anode (Si/G) - Pouch:</t>
  </si>
  <si>
    <t>Dimensionen Anode:</t>
  </si>
  <si>
    <t>33 x 33</t>
  </si>
  <si>
    <t>Fläche Anode:</t>
  </si>
  <si>
    <t>Li-Folie</t>
  </si>
  <si>
    <t>Dichte Li:</t>
  </si>
  <si>
    <t>10µm</t>
  </si>
  <si>
    <t>Masse Li-Folie (10µm):</t>
  </si>
  <si>
    <t>5µm</t>
  </si>
  <si>
    <t>Masse Li-Folie (5µm):</t>
  </si>
  <si>
    <t>Halbzelle:</t>
  </si>
  <si>
    <t>Dicke [mm]</t>
  </si>
  <si>
    <t>Anzahl</t>
  </si>
  <si>
    <t>Gesamtdicke [mm]</t>
  </si>
  <si>
    <t>1. Unterlegschale</t>
  </si>
  <si>
    <t>2. Dichtring</t>
  </si>
  <si>
    <t>3. Unterlegscheibe</t>
  </si>
  <si>
    <t>4. Lithium-Chips</t>
  </si>
  <si>
    <t>5. Separator</t>
  </si>
  <si>
    <t>6. Anode (Prälithiiert)</t>
  </si>
  <si>
    <t>7. Unterlegscheibe</t>
  </si>
  <si>
    <t>8. Feder</t>
  </si>
  <si>
    <t>9. Oberschale</t>
  </si>
  <si>
    <t>2,08mm</t>
  </si>
  <si>
    <t>Vollzelle:</t>
  </si>
  <si>
    <t>4. Unterlegscheibe</t>
  </si>
  <si>
    <t>5. Anode (Si/G)</t>
  </si>
  <si>
    <t>6. Separator</t>
  </si>
  <si>
    <t>7. Kathode (NAC)</t>
  </si>
  <si>
    <t>8. Unterlegscheibe</t>
  </si>
  <si>
    <t>9. Feder</t>
  </si>
  <si>
    <t>10. Oberschale</t>
  </si>
  <si>
    <t>2,04mm</t>
  </si>
  <si>
    <t>Gruppe</t>
  </si>
  <si>
    <t>Zell-ID</t>
  </si>
  <si>
    <t>Geometrie</t>
  </si>
  <si>
    <t>Quellblatt</t>
  </si>
  <si>
    <t>Quellzeile</t>
  </si>
  <si>
    <t>Anodenmasse [g]</t>
  </si>
  <si>
    <t>Kathodenmasse gesamt [g]</t>
  </si>
  <si>
    <t>Al-Ableiter [mg]</t>
  </si>
  <si>
    <t>Aktivmaterialmasse [g]</t>
  </si>
  <si>
    <t>Kapazität nach Formierung [mAh]</t>
  </si>
  <si>
    <t>Spezifische Kapazität [mAh/g]</t>
  </si>
  <si>
    <t>Theoretische Zellkapazität [mAh]</t>
  </si>
  <si>
    <t>CR2032 10µm 1h</t>
  </si>
  <si>
    <t>CR2032</t>
  </si>
  <si>
    <t>Vollzelle - 10µm(Cr2032) - For</t>
  </si>
  <si>
    <t>CR2032 10µm 24h</t>
  </si>
  <si>
    <t>CR2032 10µm 48h</t>
  </si>
  <si>
    <t>CR2032 10µm 168h</t>
  </si>
  <si>
    <t>Pouch Ref 48h</t>
  </si>
  <si>
    <t>Pouch</t>
  </si>
  <si>
    <t>Vollzelle - Pouchzelle (10µm)</t>
  </si>
  <si>
    <t>Pouch 10µm 48h 0b</t>
  </si>
  <si>
    <t>Pouch 10µm 48h 1b</t>
  </si>
  <si>
    <t>Pouch 10µm 48h 2b</t>
  </si>
  <si>
    <t>Pouch 10µm 48h 3b</t>
  </si>
  <si>
    <t>CR2032 5µm 1h</t>
  </si>
  <si>
    <t>Vollzelle - 5µm (CR2032) - For</t>
  </si>
  <si>
    <t>CR2032 5µm 24h</t>
  </si>
  <si>
    <t>CR2032 5µm 48h</t>
  </si>
  <si>
    <t>CR2032 5µm 168h</t>
  </si>
  <si>
    <t>CR2032 Referenz</t>
  </si>
  <si>
    <t>Vollzelle - Referenzzelle</t>
  </si>
  <si>
    <t>CR2032 10µm 48h 35°C</t>
  </si>
  <si>
    <t>Vollzelle - 10µm - 35°C</t>
  </si>
  <si>
    <t>CR2032 5µm 48h 35°C</t>
  </si>
  <si>
    <t>Vollzelle - 5µm - 35°C</t>
  </si>
  <si>
    <t>Anzahl Zellen</t>
  </si>
  <si>
    <t>Mittlere spez. Kapazität [mAh/g]</t>
  </si>
  <si>
    <t>Minimum [mAh/g]</t>
  </si>
  <si>
    <t>Maximum [mAh/g]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</si>
</sst>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%"/>
    <numFmt numFmtId="167" formatCode="0.00000"/>
    <numFmt numFmtId="168" formatCode="0.0000"/>
  </numFmts>
  <fonts count="6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1"/>
      <color rgb="FFFFFFFF"/>
      <name val="Aptos Narrow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FFC000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5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7" tint="-0.49995422223578601"/>
        <bgColor indexed="65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/>
    <xf numFmtId="0" fontId="4" fillId="7" borderId="0" xfId="0" applyFont="1" applyFill="1"/>
    <xf numFmtId="0" fontId="0" fillId="0" borderId="1" xfId="0" applyBorder="1"/>
    <xf numFmtId="0" fontId="0" fillId="0" borderId="2" xfId="0" applyBorder="1"/>
    <xf numFmtId="10" fontId="3" fillId="8" borderId="0" xfId="1" applyNumberFormat="1" applyFont="1" applyFill="1"/>
    <xf numFmtId="10" fontId="3" fillId="9" borderId="0" xfId="1" applyNumberFormat="1" applyFont="1" applyFill="1"/>
    <xf numFmtId="0" fontId="0" fillId="10" borderId="0" xfId="0" applyFill="1"/>
    <xf numFmtId="0" fontId="0" fillId="0" borderId="6" xfId="0" applyBorder="1"/>
    <xf numFmtId="2" fontId="0" fillId="0" borderId="0" xfId="0" applyNumberFormat="1"/>
    <xf numFmtId="0" fontId="0" fillId="11" borderId="3" xfId="0" applyFill="1" applyBorder="1"/>
    <xf numFmtId="2" fontId="3" fillId="11" borderId="5" xfId="0" applyNumberFormat="1" applyFont="1" applyFill="1" applyBorder="1"/>
    <xf numFmtId="165" fontId="3" fillId="11" borderId="5" xfId="1" applyNumberFormat="1" applyFont="1" applyFill="1" applyBorder="1"/>
    <xf numFmtId="0" fontId="0" fillId="11" borderId="4" xfId="0" applyFill="1" applyBorder="1"/>
    <xf numFmtId="2" fontId="3" fillId="11" borderId="6" xfId="0" applyNumberFormat="1" applyFont="1" applyFill="1" applyBorder="1"/>
    <xf numFmtId="165" fontId="3" fillId="11" borderId="6" xfId="1" applyNumberFormat="1" applyFont="1" applyFill="1" applyBorder="1"/>
    <xf numFmtId="0" fontId="0" fillId="12" borderId="3" xfId="0" applyFill="1" applyBorder="1"/>
    <xf numFmtId="164" fontId="3" fillId="12" borderId="1" xfId="0" applyNumberFormat="1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0" fillId="12" borderId="5" xfId="0" applyFill="1" applyBorder="1"/>
    <xf numFmtId="0" fontId="0" fillId="12" borderId="4" xfId="0" applyFill="1" applyBorder="1"/>
    <xf numFmtId="164" fontId="3" fillId="12" borderId="2" xfId="0" applyNumberFormat="1" applyFont="1" applyFill="1" applyBorder="1"/>
    <xf numFmtId="0" fontId="0" fillId="12" borderId="2" xfId="0" applyFill="1" applyBorder="1"/>
    <xf numFmtId="0" fontId="3" fillId="12" borderId="2" xfId="0" applyFont="1" applyFill="1" applyBorder="1"/>
    <xf numFmtId="0" fontId="0" fillId="12" borderId="6" xfId="0" applyFill="1" applyBorder="1"/>
    <xf numFmtId="0" fontId="0" fillId="13" borderId="3" xfId="0" applyFill="1" applyBorder="1"/>
    <xf numFmtId="0" fontId="3" fillId="13" borderId="1" xfId="0" applyFont="1" applyFill="1" applyBorder="1"/>
    <xf numFmtId="0" fontId="0" fillId="13" borderId="1" xfId="0" applyFill="1" applyBorder="1"/>
    <xf numFmtId="0" fontId="0" fillId="13" borderId="4" xfId="0" applyFill="1" applyBorder="1"/>
    <xf numFmtId="0" fontId="3" fillId="13" borderId="2" xfId="0" applyFont="1" applyFill="1" applyBorder="1"/>
    <xf numFmtId="0" fontId="0" fillId="13" borderId="2" xfId="0" applyFill="1" applyBorder="1"/>
    <xf numFmtId="166" fontId="4" fillId="14" borderId="0" xfId="1" applyNumberFormat="1" applyFont="1" applyFill="1"/>
    <xf numFmtId="0" fontId="0" fillId="11" borderId="2" xfId="0" applyFill="1" applyBorder="1"/>
    <xf numFmtId="0" fontId="0" fillId="15" borderId="0" xfId="0" applyFill="1"/>
    <xf numFmtId="0" fontId="4" fillId="15" borderId="0" xfId="0" applyFont="1" applyFill="1"/>
    <xf numFmtId="0" fontId="0" fillId="16" borderId="0" xfId="0" applyFill="1"/>
    <xf numFmtId="0" fontId="0" fillId="16" borderId="7" xfId="0" applyFill="1" applyBorder="1"/>
    <xf numFmtId="0" fontId="0" fillId="16" borderId="8" xfId="0" applyFill="1" applyBorder="1"/>
    <xf numFmtId="10" fontId="3" fillId="16" borderId="7" xfId="1" applyNumberFormat="1" applyFont="1" applyFill="1" applyBorder="1"/>
    <xf numFmtId="10" fontId="3" fillId="16" borderId="9" xfId="1" applyNumberFormat="1" applyFont="1" applyFill="1" applyBorder="1"/>
    <xf numFmtId="166" fontId="4" fillId="16" borderId="7" xfId="1" applyNumberFormat="1" applyFont="1" applyFill="1" applyBorder="1"/>
    <xf numFmtId="0" fontId="3" fillId="16" borderId="7" xfId="0" applyFont="1" applyFill="1" applyBorder="1"/>
    <xf numFmtId="164" fontId="3" fillId="16" borderId="7" xfId="0" applyNumberFormat="1" applyFont="1" applyFill="1" applyBorder="1"/>
    <xf numFmtId="2" fontId="3" fillId="16" borderId="7" xfId="0" applyNumberFormat="1" applyFont="1" applyFill="1" applyBorder="1"/>
    <xf numFmtId="165" fontId="3" fillId="16" borderId="7" xfId="1" applyNumberFormat="1" applyFont="1" applyFill="1" applyBorder="1"/>
    <xf numFmtId="0" fontId="0" fillId="16" borderId="9" xfId="0" applyFill="1" applyBorder="1"/>
    <xf numFmtId="0" fontId="0" fillId="10" borderId="7" xfId="0" applyFill="1" applyBorder="1"/>
    <xf numFmtId="10" fontId="3" fillId="10" borderId="7" xfId="1" applyNumberFormat="1" applyFont="1" applyFill="1" applyBorder="1"/>
    <xf numFmtId="10" fontId="2" fillId="16" borderId="7" xfId="1" applyNumberFormat="1" applyFont="1" applyFill="1" applyBorder="1"/>
    <xf numFmtId="0" fontId="0" fillId="6" borderId="10" xfId="0" applyFill="1" applyBorder="1"/>
    <xf numFmtId="0" fontId="0" fillId="6" borderId="0" xfId="0" applyFill="1"/>
    <xf numFmtId="10" fontId="2" fillId="6" borderId="10" xfId="1" applyNumberFormat="1" applyFont="1" applyFill="1" applyBorder="1"/>
    <xf numFmtId="0" fontId="0" fillId="6" borderId="7" xfId="0" applyFill="1" applyBorder="1"/>
    <xf numFmtId="10" fontId="2" fillId="6" borderId="7" xfId="1" applyNumberFormat="1" applyFont="1" applyFill="1" applyBorder="1"/>
    <xf numFmtId="167" fontId="0" fillId="6" borderId="7" xfId="0" applyNumberFormat="1" applyFill="1" applyBorder="1"/>
    <xf numFmtId="0" fontId="0" fillId="17" borderId="7" xfId="0" applyFill="1" applyBorder="1"/>
    <xf numFmtId="10" fontId="2" fillId="17" borderId="7" xfId="1" applyNumberFormat="1" applyFont="1" applyFill="1" applyBorder="1"/>
    <xf numFmtId="0" fontId="0" fillId="0" borderId="11" xfId="0" applyBorder="1" applyAlignment="1">
      <alignment vertical="center"/>
    </xf>
    <xf numFmtId="0" fontId="0" fillId="0" borderId="11" xfId="0" applyBorder="1"/>
    <xf numFmtId="0" fontId="0" fillId="13" borderId="11" xfId="0" applyFill="1" applyBorder="1"/>
    <xf numFmtId="0" fontId="3" fillId="13" borderId="11" xfId="0" applyFont="1" applyFill="1" applyBorder="1"/>
    <xf numFmtId="0" fontId="0" fillId="13" borderId="12" xfId="0" applyFill="1" applyBorder="1"/>
    <xf numFmtId="0" fontId="0" fillId="0" borderId="13" xfId="0" applyBorder="1" applyAlignment="1">
      <alignment vertical="center"/>
    </xf>
    <xf numFmtId="0" fontId="0" fillId="0" borderId="13" xfId="0" applyBorder="1"/>
    <xf numFmtId="0" fontId="0" fillId="13" borderId="13" xfId="0" applyFill="1" applyBorder="1"/>
    <xf numFmtId="0" fontId="3" fillId="13" borderId="13" xfId="0" applyFont="1" applyFill="1" applyBorder="1"/>
    <xf numFmtId="0" fontId="0" fillId="13" borderId="14" xfId="0" applyFill="1" applyBorder="1"/>
    <xf numFmtId="0" fontId="0" fillId="18" borderId="0" xfId="0" applyFill="1"/>
    <xf numFmtId="0" fontId="3" fillId="13" borderId="15" xfId="0" applyFont="1" applyFill="1" applyBorder="1"/>
    <xf numFmtId="0" fontId="0" fillId="13" borderId="15" xfId="0" applyFill="1" applyBorder="1"/>
    <xf numFmtId="0" fontId="0" fillId="12" borderId="16" xfId="0" applyFill="1" applyBorder="1"/>
    <xf numFmtId="164" fontId="3" fillId="12" borderId="15" xfId="0" applyNumberFormat="1" applyFont="1" applyFill="1" applyBorder="1"/>
    <xf numFmtId="0" fontId="0" fillId="0" borderId="7" xfId="0" applyBorder="1"/>
    <xf numFmtId="0" fontId="0" fillId="17" borderId="1" xfId="0" applyFill="1" applyBorder="1"/>
    <xf numFmtId="0" fontId="0" fillId="17" borderId="6" xfId="0" applyFill="1" applyBorder="1"/>
    <xf numFmtId="0" fontId="0" fillId="17" borderId="3" xfId="0" applyFill="1" applyBorder="1"/>
    <xf numFmtId="0" fontId="3" fillId="17" borderId="2" xfId="0" applyFont="1" applyFill="1" applyBorder="1"/>
    <xf numFmtId="0" fontId="0" fillId="17" borderId="2" xfId="0" applyFill="1" applyBorder="1"/>
    <xf numFmtId="0" fontId="0" fillId="17" borderId="4" xfId="0" applyFill="1" applyBorder="1"/>
    <xf numFmtId="0" fontId="3" fillId="17" borderId="7" xfId="0" applyFont="1" applyFill="1" applyBorder="1"/>
    <xf numFmtId="164" fontId="3" fillId="17" borderId="2" xfId="0" applyNumberFormat="1" applyFont="1" applyFill="1" applyBorder="1"/>
    <xf numFmtId="2" fontId="3" fillId="17" borderId="6" xfId="0" applyNumberFormat="1" applyFont="1" applyFill="1" applyBorder="1"/>
    <xf numFmtId="165" fontId="3" fillId="17" borderId="6" xfId="1" applyNumberFormat="1" applyFont="1" applyFill="1" applyBorder="1"/>
    <xf numFmtId="0" fontId="0" fillId="17" borderId="0" xfId="0" applyFill="1"/>
    <xf numFmtId="10" fontId="3" fillId="17" borderId="0" xfId="1" applyNumberFormat="1" applyFont="1" applyFill="1"/>
    <xf numFmtId="0" fontId="3" fillId="17" borderId="1" xfId="0" applyFont="1" applyFill="1" applyBorder="1"/>
    <xf numFmtId="164" fontId="3" fillId="17" borderId="1" xfId="0" applyNumberFormat="1" applyFont="1" applyFill="1" applyBorder="1"/>
    <xf numFmtId="0" fontId="0" fillId="17" borderId="5" xfId="0" applyFill="1" applyBorder="1"/>
    <xf numFmtId="2" fontId="3" fillId="17" borderId="5" xfId="0" applyNumberFormat="1" applyFont="1" applyFill="1" applyBorder="1"/>
    <xf numFmtId="0" fontId="0" fillId="16" borderId="1" xfId="0" applyFill="1" applyBorder="1"/>
    <xf numFmtId="0" fontId="0" fillId="16" borderId="6" xfId="0" applyFill="1" applyBorder="1"/>
    <xf numFmtId="0" fontId="0" fillId="16" borderId="2" xfId="0" applyFill="1" applyBorder="1"/>
    <xf numFmtId="0" fontId="0" fillId="19" borderId="3" xfId="0" applyFill="1" applyBorder="1"/>
    <xf numFmtId="0" fontId="3" fillId="19" borderId="2" xfId="0" applyFont="1" applyFill="1" applyBorder="1"/>
    <xf numFmtId="0" fontId="0" fillId="19" borderId="2" xfId="0" applyFill="1" applyBorder="1"/>
    <xf numFmtId="0" fontId="0" fillId="19" borderId="4" xfId="0" applyFill="1" applyBorder="1"/>
    <xf numFmtId="10" fontId="0" fillId="16" borderId="7" xfId="1" applyNumberFormat="1" applyFont="1" applyFill="1" applyBorder="1"/>
    <xf numFmtId="164" fontId="3" fillId="17" borderId="7" xfId="0" applyNumberFormat="1" applyFont="1" applyFill="1" applyBorder="1"/>
    <xf numFmtId="165" fontId="3" fillId="11" borderId="2" xfId="1" applyNumberFormat="1" applyFont="1" applyFill="1" applyBorder="1"/>
    <xf numFmtId="0" fontId="0" fillId="20" borderId="4" xfId="0" applyFill="1" applyBorder="1"/>
    <xf numFmtId="164" fontId="3" fillId="20" borderId="2" xfId="0" applyNumberFormat="1" applyFont="1" applyFill="1" applyBorder="1"/>
    <xf numFmtId="0" fontId="0" fillId="20" borderId="6" xfId="0" applyFill="1" applyBorder="1"/>
    <xf numFmtId="0" fontId="3" fillId="20" borderId="2" xfId="0" applyFont="1" applyFill="1" applyBorder="1"/>
    <xf numFmtId="0" fontId="0" fillId="20" borderId="2" xfId="0" applyFill="1" applyBorder="1"/>
    <xf numFmtId="165" fontId="3" fillId="17" borderId="1" xfId="1" applyNumberFormat="1" applyFont="1" applyFill="1" applyBorder="1"/>
    <xf numFmtId="0" fontId="0" fillId="12" borderId="7" xfId="0" applyFill="1" applyBorder="1"/>
    <xf numFmtId="0" fontId="5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/>
    </xf>
    <xf numFmtId="1" fontId="0" fillId="0" borderId="0" xfId="0" applyNumberFormat="1"/>
    <xf numFmtId="168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2">
    <cellStyle name="Prozent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ficCapacityOverview" displayName="SpecificCapacityOverview" ref="A1:L66" totalsRowShown="0">
  <tableColumns count="12">
    <tableColumn id="1" xr3:uid="{00000000-0010-0000-0000-000001000000}" name="Gruppe"/>
    <tableColumn id="2" xr3:uid="{00000000-0010-0000-0000-000002000000}" name="Zell-ID"/>
    <tableColumn id="3" xr3:uid="{00000000-0010-0000-0000-000003000000}" name="Geometrie"/>
    <tableColumn id="4" xr3:uid="{00000000-0010-0000-0000-000004000000}" name="Quellblatt"/>
    <tableColumn id="5" xr3:uid="{00000000-0010-0000-0000-000005000000}" name="Quellzeile"/>
    <tableColumn id="6" xr3:uid="{00000000-0010-0000-0000-000006000000}" name="Anodenmasse [g]"/>
    <tableColumn id="7" xr3:uid="{00000000-0010-0000-0000-000007000000}" name="Kathodenmasse gesamt [g]"/>
    <tableColumn id="8" xr3:uid="{00000000-0010-0000-0000-000008000000}" name="Al-Ableiter [mg]"/>
    <tableColumn id="9" xr3:uid="{00000000-0010-0000-0000-000009000000}" name="Aktivmaterialmasse [g]"/>
    <tableColumn id="10" xr3:uid="{00000000-0010-0000-0000-00000A000000}" name="Kapazität nach Formierung [mAh]"/>
    <tableColumn id="11" xr3:uid="{00000000-0010-0000-0000-00000B000000}" name="Spezifische Kapazität [mAh/g]"/>
    <tableColumn id="12" xr3:uid="{00000000-0010-0000-0000-00000C000000}" name="Theoretische Zellkapazität [mAh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oupSummary" displayName="GroupSummary" ref="A1:E17" totalsRowShown="0">
  <tableColumns count="5">
    <tableColumn id="1" xr3:uid="{00000000-0010-0000-0100-000001000000}" name="Gruppe"/>
    <tableColumn id="2" xr3:uid="{00000000-0010-0000-0100-000002000000}" name="Anzahl Zellen"/>
    <tableColumn id="3" xr3:uid="{00000000-0010-0000-0100-000003000000}" name="Mittlere spez. Kapazität [mAh/g]"/>
    <tableColumn id="4" xr3:uid="{00000000-0010-0000-0100-000004000000}" name="Minimum [mAh/g]"/>
    <tableColumn id="5" xr3:uid="{00000000-0010-0000-0100-000005000000}" name="Maximum [mAh/g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N98"/>
  <sheetViews>
    <sheetView topLeftCell="A28" workbookViewId="0">
      <selection activeCell="H36" sqref="H36"/>
    </sheetView>
  </sheetViews>
  <sheetFormatPr baseColWidth="10" defaultRowHeight="14.5" x14ac:dyDescent="0.35"/>
  <cols>
    <col min="2" max="2" width="50.6328125" customWidth="1"/>
    <col min="4" max="4" width="14.54296875" customWidth="1"/>
    <col min="5" max="5" width="13.90625" customWidth="1"/>
    <col min="8" max="8" width="12.6328125" customWidth="1"/>
    <col min="10" max="10" width="34.08984375" customWidth="1"/>
    <col min="11" max="11" width="12.6328125" customWidth="1"/>
    <col min="12" max="12" width="21.36328125" customWidth="1"/>
    <col min="13" max="13" width="28" customWidth="1"/>
    <col min="14" max="14" width="11.54296875" customWidth="1"/>
    <col min="16" max="16" width="15.54296875" customWidth="1"/>
    <col min="17" max="17" width="12" customWidth="1"/>
    <col min="18" max="18" width="21.54296875" customWidth="1"/>
  </cols>
  <sheetData>
    <row r="2" spans="2:28" x14ac:dyDescent="0.35">
      <c r="B2" s="1" t="s">
        <v>0</v>
      </c>
      <c r="C2" s="75"/>
      <c r="D2" s="75"/>
      <c r="E2" s="75"/>
      <c r="F2" s="75"/>
      <c r="G2" s="75"/>
      <c r="H2" s="75"/>
    </row>
    <row r="5" spans="2:28" x14ac:dyDescent="0.35">
      <c r="B5" s="1" t="s">
        <v>1</v>
      </c>
      <c r="C5" s="1"/>
      <c r="D5" s="1"/>
      <c r="E5" s="1"/>
      <c r="F5" s="1"/>
      <c r="G5" s="1"/>
      <c r="H5" s="1"/>
      <c r="I5" s="1"/>
    </row>
    <row r="6" spans="2:28" x14ac:dyDescent="0.35">
      <c r="B6" s="2" t="s">
        <v>2</v>
      </c>
      <c r="C6" s="2" t="s">
        <v>3</v>
      </c>
      <c r="D6" s="2" t="s">
        <v>4</v>
      </c>
    </row>
    <row r="8" spans="2:28" x14ac:dyDescent="0.35">
      <c r="C8" s="2" t="s">
        <v>5</v>
      </c>
      <c r="D8" s="2"/>
      <c r="E8" s="2"/>
      <c r="F8" s="2"/>
      <c r="G8" s="2" t="s">
        <v>6</v>
      </c>
      <c r="H8" s="2" t="s">
        <v>6</v>
      </c>
    </row>
    <row r="10" spans="2:28" x14ac:dyDescent="0.35">
      <c r="B10" s="10" t="s">
        <v>7</v>
      </c>
      <c r="C10" s="10"/>
      <c r="D10" s="33" t="s">
        <v>8</v>
      </c>
      <c r="E10" s="34">
        <v>2.4899999999999999E-2</v>
      </c>
      <c r="F10" s="35" t="s">
        <v>9</v>
      </c>
      <c r="G10" s="33" t="s">
        <v>10</v>
      </c>
      <c r="H10" s="34">
        <v>3.7600000000000001E-2</v>
      </c>
      <c r="I10" s="35" t="s">
        <v>9</v>
      </c>
      <c r="J10" s="23" t="s">
        <v>11</v>
      </c>
      <c r="K10" s="24">
        <f>(H10*1000-'Material - Abmessungen'!E25)*'Material - Abmessungen'!E20*0.96</f>
        <v>5.5705471211999997</v>
      </c>
      <c r="L10" s="25" t="s">
        <v>12</v>
      </c>
      <c r="M10" s="23" t="s">
        <v>13</v>
      </c>
      <c r="N10" s="26">
        <v>5.1619000000000002</v>
      </c>
      <c r="O10" s="27" t="s">
        <v>12</v>
      </c>
      <c r="P10" s="17" t="s">
        <v>14</v>
      </c>
      <c r="Q10" s="18">
        <f>(((E10*1000)-'Material - Abmessungen'!E17-('Material - Abmessungen'!E49*1000))*'Material - Abmessungen'!E10*0.697)/K10</f>
        <v>3.2831646132906238</v>
      </c>
      <c r="R10" s="17" t="s">
        <v>15</v>
      </c>
      <c r="S10" s="19">
        <f>Q10^(-1)</f>
        <v>0.30458417952967887</v>
      </c>
    </row>
    <row r="11" spans="2:28" x14ac:dyDescent="0.35">
      <c r="B11" s="10" t="s">
        <v>16</v>
      </c>
      <c r="C11" s="15"/>
      <c r="D11" s="33" t="s">
        <v>17</v>
      </c>
      <c r="E11" s="37">
        <v>2.4899999999999999E-2</v>
      </c>
      <c r="F11" s="38" t="s">
        <v>9</v>
      </c>
      <c r="G11" s="36" t="s">
        <v>18</v>
      </c>
      <c r="H11" s="37">
        <v>3.6799999999999999E-2</v>
      </c>
      <c r="I11" s="38" t="s">
        <v>9</v>
      </c>
      <c r="J11" s="23" t="s">
        <v>11</v>
      </c>
      <c r="K11" s="29">
        <f>(H11*1000-'Material - Abmessungen'!E25)*'Material - Abmessungen'!E20*0.96</f>
        <v>5.4284671211999989</v>
      </c>
      <c r="L11" s="30" t="s">
        <v>12</v>
      </c>
      <c r="M11" s="28" t="s">
        <v>13</v>
      </c>
      <c r="N11" s="31">
        <v>4.9852999999999996</v>
      </c>
      <c r="O11" s="32" t="s">
        <v>12</v>
      </c>
      <c r="P11" s="20" t="s">
        <v>14</v>
      </c>
      <c r="Q11" s="21">
        <f>((E11*1000-'Material - Abmessungen'!E17-('Material - Abmessungen'!E49*1000))*'Material - Abmessungen'!E10*0.697)/K11</f>
        <v>3.3690953222442812</v>
      </c>
      <c r="R11" s="20" t="s">
        <v>15</v>
      </c>
      <c r="S11" s="22">
        <f t="shared" ref="S11:S15" si="0">Q11^(-1)</f>
        <v>0.29681558529898239</v>
      </c>
    </row>
    <row r="12" spans="2:28" x14ac:dyDescent="0.35">
      <c r="B12" s="10" t="s">
        <v>19</v>
      </c>
      <c r="C12" s="15"/>
      <c r="D12" s="36" t="s">
        <v>20</v>
      </c>
      <c r="E12" s="37">
        <v>2.52E-2</v>
      </c>
      <c r="F12" s="38" t="s">
        <v>9</v>
      </c>
      <c r="G12" s="36" t="s">
        <v>21</v>
      </c>
      <c r="H12" s="37">
        <v>3.7400000000000003E-2</v>
      </c>
      <c r="I12" s="38" t="s">
        <v>9</v>
      </c>
      <c r="J12" s="23" t="s">
        <v>11</v>
      </c>
      <c r="K12" s="29">
        <f>(H12*1000-'Material - Abmessungen'!E25)*'Material - Abmessungen'!E20*0.96</f>
        <v>5.5350271212000006</v>
      </c>
      <c r="L12" s="30" t="s">
        <v>12</v>
      </c>
      <c r="M12" s="28" t="s">
        <v>13</v>
      </c>
      <c r="N12" s="31">
        <v>5.1486000000000001</v>
      </c>
      <c r="O12" s="32" t="s">
        <v>12</v>
      </c>
      <c r="P12" s="20" t="s">
        <v>14</v>
      </c>
      <c r="Q12" s="21">
        <f>((E12*1000-'Material - Abmessungen'!E17-('Material - Abmessungen'!E49*1000))*'Material - Abmessungen'!E10*0.697)/K12</f>
        <v>3.4394397115193307</v>
      </c>
      <c r="R12" s="20" t="s">
        <v>15</v>
      </c>
      <c r="S12" s="22">
        <f t="shared" si="0"/>
        <v>0.29074502938685387</v>
      </c>
    </row>
    <row r="13" spans="2:28" x14ac:dyDescent="0.35">
      <c r="B13" s="11" t="s">
        <v>22</v>
      </c>
      <c r="C13" s="15"/>
      <c r="D13" s="36" t="s">
        <v>23</v>
      </c>
      <c r="E13" s="37">
        <v>2.52E-2</v>
      </c>
      <c r="F13" s="38" t="s">
        <v>9</v>
      </c>
      <c r="G13" s="36" t="s">
        <v>24</v>
      </c>
      <c r="H13" s="37">
        <v>3.7400000000000003E-2</v>
      </c>
      <c r="I13" s="38" t="s">
        <v>9</v>
      </c>
      <c r="J13" s="23" t="s">
        <v>11</v>
      </c>
      <c r="K13" s="29">
        <f>(H13*1000-'Material - Abmessungen'!E25)*'Material - Abmessungen'!E20*0.96</f>
        <v>5.5350271212000006</v>
      </c>
      <c r="L13" s="30" t="s">
        <v>12</v>
      </c>
      <c r="M13" s="28" t="s">
        <v>13</v>
      </c>
      <c r="N13" s="31">
        <v>5.1426999999999996</v>
      </c>
      <c r="O13" s="32" t="s">
        <v>12</v>
      </c>
      <c r="P13" s="40" t="s">
        <v>14</v>
      </c>
      <c r="Q13" s="21">
        <f>((E13*1000-'Material - Abmessungen'!E17-('Material - Abmessungen'!E49*1000))*'Material - Abmessungen'!E10*0.697)/K13</f>
        <v>3.4394397115193307</v>
      </c>
      <c r="R13" s="40" t="s">
        <v>15</v>
      </c>
      <c r="S13" s="22">
        <f t="shared" si="0"/>
        <v>0.29074502938685387</v>
      </c>
    </row>
    <row r="14" spans="2:28" x14ac:dyDescent="0.35">
      <c r="B14" s="99" t="s">
        <v>25</v>
      </c>
      <c r="C14" s="99"/>
      <c r="D14" s="103" t="s">
        <v>26</v>
      </c>
      <c r="E14" s="101">
        <v>2.52E-2</v>
      </c>
      <c r="F14" s="102" t="s">
        <v>9</v>
      </c>
      <c r="G14" s="103" t="s">
        <v>27</v>
      </c>
      <c r="H14" s="101">
        <v>3.6999999999999998E-2</v>
      </c>
      <c r="I14" s="102" t="s">
        <v>9</v>
      </c>
      <c r="J14" s="23" t="s">
        <v>11</v>
      </c>
      <c r="K14" s="108">
        <f>(H14*1000-'Material - Abmessungen'!E25)*'Material - Abmessungen'!E20*0.96</f>
        <v>5.4639871211999997</v>
      </c>
      <c r="L14" s="109" t="s">
        <v>12</v>
      </c>
      <c r="M14" s="107" t="s">
        <v>13</v>
      </c>
      <c r="N14" s="110">
        <v>5.0937999999999999</v>
      </c>
      <c r="O14" s="109" t="s">
        <v>12</v>
      </c>
      <c r="P14" s="40" t="s">
        <v>14</v>
      </c>
      <c r="Q14" s="21">
        <f>((E14*1000-'Material - Abmessungen'!E17-('Material - Abmessungen'!E49*1000))*'Material - Abmessungen'!E10*0.697)/K14</f>
        <v>3.4841575689532029</v>
      </c>
      <c r="R14" s="20" t="s">
        <v>15</v>
      </c>
      <c r="S14" s="106">
        <f t="shared" si="0"/>
        <v>0.28701342583092326</v>
      </c>
      <c r="T14" s="44"/>
      <c r="U14" s="44"/>
      <c r="V14" s="44"/>
      <c r="W14" s="44"/>
      <c r="X14" s="44"/>
      <c r="Y14" s="44"/>
      <c r="Z14" s="44"/>
      <c r="AA14" s="44"/>
      <c r="AB14" s="44"/>
    </row>
    <row r="15" spans="2:28" x14ac:dyDescent="0.35">
      <c r="B15" s="99" t="s">
        <v>28</v>
      </c>
      <c r="C15" s="99"/>
      <c r="D15" s="103" t="s">
        <v>29</v>
      </c>
      <c r="E15" s="101">
        <v>2.5100000000000001E-2</v>
      </c>
      <c r="F15" s="102" t="s">
        <v>9</v>
      </c>
      <c r="G15" s="103" t="s">
        <v>30</v>
      </c>
      <c r="H15" s="101">
        <v>3.7100000000000001E-2</v>
      </c>
      <c r="I15" s="102" t="s">
        <v>9</v>
      </c>
      <c r="J15" s="23" t="s">
        <v>11</v>
      </c>
      <c r="K15" s="108">
        <f>(H15*1000-'Material - Abmessungen'!E25)*'Material - Abmessungen'!E20*0.96</f>
        <v>5.4817471211999997</v>
      </c>
      <c r="L15" s="111" t="s">
        <v>12</v>
      </c>
      <c r="M15" s="107" t="s">
        <v>13</v>
      </c>
      <c r="N15" s="110">
        <v>5.0602</v>
      </c>
      <c r="O15" s="111" t="s">
        <v>12</v>
      </c>
      <c r="P15" s="20" t="s">
        <v>14</v>
      </c>
      <c r="Q15" s="21">
        <f>((E15*1000-'Material - Abmessungen'!E17-('Material - Abmessungen'!E49*1000))*'Material - Abmessungen'!E10*0.697)/K15</f>
        <v>3.4273627311868715</v>
      </c>
      <c r="R15" s="20" t="s">
        <v>15</v>
      </c>
      <c r="S15" s="106">
        <f t="shared" si="0"/>
        <v>0.29176952614341672</v>
      </c>
      <c r="T15" s="44"/>
      <c r="U15" s="44"/>
      <c r="V15" s="44"/>
      <c r="W15" s="44"/>
      <c r="X15" s="44"/>
      <c r="Y15" s="44"/>
      <c r="Z15" s="44"/>
      <c r="AA15" s="44"/>
      <c r="AB15" s="44"/>
    </row>
    <row r="17" spans="2:15" x14ac:dyDescent="0.35">
      <c r="D17" s="14" t="s">
        <v>31</v>
      </c>
      <c r="E17" s="14"/>
      <c r="F17" s="14"/>
      <c r="G17" s="14"/>
      <c r="H17" s="14"/>
      <c r="I17" s="14"/>
      <c r="J17" s="14"/>
      <c r="K17" s="14"/>
    </row>
    <row r="18" spans="2:15" x14ac:dyDescent="0.35">
      <c r="F18" t="s">
        <v>32</v>
      </c>
      <c r="G18" t="s">
        <v>33</v>
      </c>
      <c r="H18" t="s">
        <v>34</v>
      </c>
      <c r="I18" t="s">
        <v>35</v>
      </c>
      <c r="J18" s="44" t="s">
        <v>36</v>
      </c>
      <c r="K18" s="44" t="s">
        <v>37</v>
      </c>
    </row>
    <row r="19" spans="2:15" x14ac:dyDescent="0.35">
      <c r="D19" s="10" t="s">
        <v>38</v>
      </c>
      <c r="E19" s="10"/>
      <c r="F19" s="10">
        <v>6.3771000000000004</v>
      </c>
      <c r="G19" s="10">
        <v>6.2130000000000001</v>
      </c>
      <c r="H19" s="10">
        <v>6.2987000000000002</v>
      </c>
      <c r="I19" s="10">
        <v>6.3074000000000003</v>
      </c>
      <c r="J19" s="97">
        <v>6.2633000000000001</v>
      </c>
      <c r="K19" s="97">
        <v>6.2478999999999996</v>
      </c>
    </row>
    <row r="20" spans="2:15" x14ac:dyDescent="0.35">
      <c r="D20" s="11" t="s">
        <v>39</v>
      </c>
      <c r="E20" s="11"/>
      <c r="F20" s="11">
        <v>0.1167</v>
      </c>
      <c r="G20" s="11">
        <v>0.12809999999999999</v>
      </c>
      <c r="H20" s="11">
        <v>0.11990000000000001</v>
      </c>
      <c r="I20" s="11">
        <v>0.11310000000000001</v>
      </c>
      <c r="J20" s="99">
        <v>0.1133</v>
      </c>
      <c r="K20" s="99">
        <v>0.12620000000000001</v>
      </c>
    </row>
    <row r="21" spans="2:15" x14ac:dyDescent="0.35">
      <c r="D21" s="11" t="s">
        <v>40</v>
      </c>
      <c r="E21" s="11"/>
      <c r="F21" s="11">
        <v>5.1818999999999997</v>
      </c>
      <c r="G21" s="11">
        <v>5.0119999999999996</v>
      </c>
      <c r="H21" s="11">
        <v>5.1622000000000003</v>
      </c>
      <c r="I21" s="11">
        <v>5.1590999999999996</v>
      </c>
      <c r="J21" s="99">
        <v>5.1127000000000002</v>
      </c>
      <c r="K21" s="99">
        <v>5.0875000000000004</v>
      </c>
      <c r="O21" t="s">
        <v>41</v>
      </c>
    </row>
    <row r="22" spans="2:15" x14ac:dyDescent="0.35">
      <c r="D22" t="s">
        <v>42</v>
      </c>
      <c r="F22" s="12">
        <f>F21/(F19+F20)</f>
        <v>0.79797653146077785</v>
      </c>
      <c r="G22" s="12">
        <f t="shared" ref="G22" si="1">G21/(G19+G20)</f>
        <v>0.7903991421046821</v>
      </c>
      <c r="H22" s="12">
        <f t="shared" ref="H22" si="2">H21/(H19+H20)</f>
        <v>0.80425637989592746</v>
      </c>
      <c r="I22" s="12">
        <f t="shared" ref="I22" si="3">I21/(I19+I20)</f>
        <v>0.80353555019079492</v>
      </c>
      <c r="J22" s="12">
        <f t="shared" ref="J22" si="4">J21/(J19+J20)</f>
        <v>0.80179092306244715</v>
      </c>
      <c r="K22" s="12">
        <f t="shared" ref="K22" si="5">K21/(K19+K20)</f>
        <v>0.79815189595393876</v>
      </c>
      <c r="L22" t="s">
        <v>43</v>
      </c>
      <c r="M22" s="13">
        <f>(F22+G22+H22+I22+J22+K22)/6</f>
        <v>0.79935173711142793</v>
      </c>
      <c r="O22" s="39">
        <f>_xlfn.STDEV.S(F22,G22,H22,I22,J22,K22)</f>
        <v>5.1183827049151075E-3</v>
      </c>
    </row>
    <row r="23" spans="2:15" x14ac:dyDescent="0.35">
      <c r="J23" s="43"/>
      <c r="K23" s="43"/>
    </row>
    <row r="24" spans="2:15" x14ac:dyDescent="0.35">
      <c r="D24" s="10" t="s">
        <v>44</v>
      </c>
      <c r="E24" s="10"/>
      <c r="F24" s="10">
        <v>5.1262999999999996</v>
      </c>
      <c r="G24" s="10">
        <v>4.9461000000000004</v>
      </c>
      <c r="H24" s="10">
        <v>5.1029</v>
      </c>
      <c r="I24" s="10">
        <v>5.1017999999999999</v>
      </c>
      <c r="J24" s="97">
        <v>5.0541</v>
      </c>
      <c r="K24" s="97">
        <v>5.0167999999999999</v>
      </c>
    </row>
    <row r="25" spans="2:15" x14ac:dyDescent="0.35">
      <c r="D25" s="11" t="s">
        <v>45</v>
      </c>
      <c r="E25" s="11"/>
      <c r="F25" s="11">
        <v>9.8100000000000007E-2</v>
      </c>
      <c r="G25" s="11">
        <v>0.10829999999999999</v>
      </c>
      <c r="H25" s="11">
        <v>0.1014</v>
      </c>
      <c r="I25" s="11">
        <v>9.74E-2</v>
      </c>
      <c r="J25" s="99">
        <v>9.8799999999999999E-2</v>
      </c>
      <c r="K25" s="99">
        <v>0.11119999999999999</v>
      </c>
    </row>
    <row r="26" spans="2:15" x14ac:dyDescent="0.35">
      <c r="D26" s="11" t="s">
        <v>46</v>
      </c>
      <c r="E26" s="11"/>
      <c r="F26" s="11">
        <v>5.1619000000000002</v>
      </c>
      <c r="G26" s="11">
        <v>4.9852999999999996</v>
      </c>
      <c r="H26" s="11">
        <v>5.1486000000000001</v>
      </c>
      <c r="I26" s="11">
        <v>5.1426999999999996</v>
      </c>
      <c r="J26" s="99">
        <v>5.0937999999999999</v>
      </c>
      <c r="K26" s="99">
        <v>5.0602999999999998</v>
      </c>
      <c r="O26" t="s">
        <v>41</v>
      </c>
    </row>
    <row r="27" spans="2:15" x14ac:dyDescent="0.35">
      <c r="D27" t="s">
        <v>42</v>
      </c>
      <c r="F27" s="12">
        <f>F26/(F24+F25)</f>
        <v>0.98803690375928355</v>
      </c>
      <c r="G27" s="12">
        <f t="shared" ref="G27" si="6">G26/(G24+G25)</f>
        <v>0.98632874327318765</v>
      </c>
      <c r="H27" s="12">
        <f t="shared" ref="H27" si="7">H26/(H24+H25)</f>
        <v>0.98929731183828762</v>
      </c>
      <c r="I27" s="12">
        <f t="shared" ref="I27" si="8">I26/(I24+I25)</f>
        <v>0.98913294352977366</v>
      </c>
      <c r="J27" s="12">
        <f t="shared" ref="J27" si="9">J26/(J24+J25)</f>
        <v>0.98853073026839255</v>
      </c>
      <c r="K27" s="12">
        <f t="shared" ref="K27" si="10">K26/(K24+K25)</f>
        <v>0.98679797191887675</v>
      </c>
      <c r="L27" t="s">
        <v>43</v>
      </c>
      <c r="M27" s="13">
        <f>(F27+G27+H27+I27+J27+K27)/6</f>
        <v>0.98802076743130041</v>
      </c>
      <c r="O27" s="39">
        <f>_xlfn.STDEV.S(F27,G27,H27,I27,J27,K27)</f>
        <v>1.2235193819602527E-3</v>
      </c>
    </row>
    <row r="30" spans="2:15" x14ac:dyDescent="0.35">
      <c r="B30" s="1" t="s">
        <v>47</v>
      </c>
      <c r="C30" s="1"/>
      <c r="D30" s="1"/>
      <c r="E30" s="1"/>
      <c r="F30" s="1"/>
      <c r="G30" s="1"/>
      <c r="H30" s="1"/>
      <c r="I30" s="1"/>
    </row>
    <row r="31" spans="2:15" x14ac:dyDescent="0.35">
      <c r="B31" s="2" t="s">
        <v>2</v>
      </c>
      <c r="C31" s="2" t="s">
        <v>3</v>
      </c>
      <c r="D31" s="2" t="s">
        <v>4</v>
      </c>
    </row>
    <row r="33" spans="2:40" x14ac:dyDescent="0.35">
      <c r="C33" s="2" t="s">
        <v>5</v>
      </c>
      <c r="D33" s="2"/>
      <c r="E33" s="2"/>
      <c r="F33" s="2"/>
      <c r="G33" s="2" t="s">
        <v>6</v>
      </c>
      <c r="H33" s="2" t="s">
        <v>6</v>
      </c>
    </row>
    <row r="34" spans="2:40" x14ac:dyDescent="0.35"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</row>
    <row r="35" spans="2:40" x14ac:dyDescent="0.35">
      <c r="B35" s="81" t="s">
        <v>48</v>
      </c>
      <c r="C35" s="81"/>
      <c r="D35" s="83" t="s">
        <v>8</v>
      </c>
      <c r="E35" s="93">
        <v>2.52E-2</v>
      </c>
      <c r="F35" s="81" t="s">
        <v>9</v>
      </c>
      <c r="G35" s="83" t="s">
        <v>10</v>
      </c>
      <c r="H35" s="93">
        <v>3.5799999999999998E-2</v>
      </c>
      <c r="I35" s="81" t="s">
        <v>9</v>
      </c>
      <c r="J35" s="83" t="s">
        <v>11</v>
      </c>
      <c r="K35" s="94">
        <f>(H35*1000-'Material - Abmessungen'!E25)*'Material - Abmessungen'!E20*0.96</f>
        <v>5.2508671211999989</v>
      </c>
      <c r="L35" s="81" t="s">
        <v>12</v>
      </c>
      <c r="M35" s="83" t="s">
        <v>13</v>
      </c>
      <c r="N35" s="93">
        <v>4.8296000000000001</v>
      </c>
      <c r="O35" s="95" t="s">
        <v>12</v>
      </c>
      <c r="P35" s="83" t="s">
        <v>14</v>
      </c>
      <c r="Q35" s="96">
        <f>((E35*1000-'Material - Abmessungen'!E17-('Material - Abmessungen'!E49*1000))*'Material - Abmessungen'!E10*0.697)/K35</f>
        <v>3.6255711000816793</v>
      </c>
      <c r="R35" s="83" t="s">
        <v>15</v>
      </c>
      <c r="S35" s="112">
        <f>Q35^(-1)</f>
        <v>0.2758186151631315</v>
      </c>
      <c r="T35" s="63" t="s">
        <v>49</v>
      </c>
      <c r="U35" s="63"/>
      <c r="V35" s="63"/>
      <c r="W35" s="63"/>
      <c r="X35" s="63"/>
      <c r="Y35" s="63"/>
      <c r="Z35" s="63"/>
      <c r="AA35" s="63"/>
      <c r="AB35" s="63"/>
      <c r="AC35" s="63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</row>
    <row r="36" spans="2:40" x14ac:dyDescent="0.35">
      <c r="B36" s="10" t="s">
        <v>50</v>
      </c>
      <c r="C36" s="15"/>
      <c r="D36" s="33" t="s">
        <v>17</v>
      </c>
      <c r="E36" s="37">
        <v>2.5000000000000001E-2</v>
      </c>
      <c r="F36" s="38" t="s">
        <v>9</v>
      </c>
      <c r="G36" s="36" t="s">
        <v>18</v>
      </c>
      <c r="H36" s="37">
        <v>3.6400000000000002E-2</v>
      </c>
      <c r="I36" s="38" t="s">
        <v>9</v>
      </c>
      <c r="J36" s="28" t="s">
        <v>11</v>
      </c>
      <c r="K36" s="29">
        <f>(H36*1000-'Material - Abmessungen'!E25)*'Material - Abmessungen'!E20*0.96</f>
        <v>5.3574271211999989</v>
      </c>
      <c r="L36" s="30" t="s">
        <v>12</v>
      </c>
      <c r="M36" s="28" t="s">
        <v>13</v>
      </c>
      <c r="N36" s="31">
        <v>5.0679999999999996</v>
      </c>
      <c r="O36" s="32" t="s">
        <v>12</v>
      </c>
      <c r="P36" s="20" t="s">
        <v>14</v>
      </c>
      <c r="Q36" s="21">
        <f>((E36*1000-'Material - Abmessungen'!E17-('Material - Abmessungen'!E49*1000))*'Material - Abmessungen'!E10*0.697)/K36</f>
        <v>3.4603325562064584</v>
      </c>
      <c r="R36" s="20" t="s">
        <v>15</v>
      </c>
      <c r="S36" s="106">
        <f t="shared" ref="S36:S38" si="11">Q36^(-1)</f>
        <v>0.28898956494987693</v>
      </c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</row>
    <row r="37" spans="2:40" x14ac:dyDescent="0.35">
      <c r="B37" s="10" t="s">
        <v>51</v>
      </c>
      <c r="C37" s="15"/>
      <c r="D37" s="36" t="s">
        <v>20</v>
      </c>
      <c r="E37" s="37">
        <v>2.4899999999999999E-2</v>
      </c>
      <c r="F37" s="38" t="s">
        <v>9</v>
      </c>
      <c r="G37" s="36" t="s">
        <v>21</v>
      </c>
      <c r="H37" s="37">
        <v>3.6400000000000002E-2</v>
      </c>
      <c r="I37" s="38" t="s">
        <v>9</v>
      </c>
      <c r="J37" s="28" t="s">
        <v>11</v>
      </c>
      <c r="K37" s="29">
        <f>(H37*1000-'Material - Abmessungen'!E25)*'Material - Abmessungen'!E20*0.96</f>
        <v>5.3574271211999989</v>
      </c>
      <c r="L37" s="30" t="s">
        <v>12</v>
      </c>
      <c r="M37" s="28" t="s">
        <v>13</v>
      </c>
      <c r="N37" s="31">
        <v>5.0819000000000001</v>
      </c>
      <c r="O37" s="32" t="s">
        <v>12</v>
      </c>
      <c r="P37" s="20" t="s">
        <v>14</v>
      </c>
      <c r="Q37" s="21">
        <f>((E37*1000-'Material - Abmessungen'!E17-('Material - Abmessungen'!E49*1000))*'Material - Abmessungen'!E10*0.697)/K37</f>
        <v>3.413769850945779</v>
      </c>
      <c r="R37" s="20" t="s">
        <v>15</v>
      </c>
      <c r="S37" s="22">
        <f t="shared" si="11"/>
        <v>0.29293128818363423</v>
      </c>
    </row>
    <row r="38" spans="2:40" x14ac:dyDescent="0.35">
      <c r="B38" s="10" t="s">
        <v>52</v>
      </c>
      <c r="C38" s="11"/>
      <c r="D38" s="36" t="s">
        <v>23</v>
      </c>
      <c r="E38" s="37">
        <v>2.4899999999999999E-2</v>
      </c>
      <c r="F38" s="38" t="s">
        <v>9</v>
      </c>
      <c r="G38" s="36" t="s">
        <v>24</v>
      </c>
      <c r="H38" s="37">
        <v>3.6400000000000002E-2</v>
      </c>
      <c r="I38" s="38" t="s">
        <v>9</v>
      </c>
      <c r="J38" s="28" t="s">
        <v>11</v>
      </c>
      <c r="K38" s="29">
        <f>(H38*1000-'Material - Abmessungen'!E25)*'Material - Abmessungen'!E20*0.96</f>
        <v>5.3574271211999989</v>
      </c>
      <c r="L38" s="30" t="s">
        <v>12</v>
      </c>
      <c r="M38" s="28" t="s">
        <v>13</v>
      </c>
      <c r="N38" s="31">
        <v>5.1615000000000002</v>
      </c>
      <c r="O38" s="32" t="s">
        <v>12</v>
      </c>
      <c r="P38" s="40" t="s">
        <v>14</v>
      </c>
      <c r="Q38" s="21">
        <f>((E38*1000-'Material - Abmessungen'!E17-('Material - Abmessungen'!E49*1000))*'Material - Abmessungen'!E10*0.697)/K38</f>
        <v>3.413769850945779</v>
      </c>
      <c r="R38" s="40" t="s">
        <v>15</v>
      </c>
      <c r="S38" s="22">
        <f t="shared" si="11"/>
        <v>0.29293128818363423</v>
      </c>
    </row>
    <row r="40" spans="2:40" x14ac:dyDescent="0.35">
      <c r="D40" s="14" t="s">
        <v>31</v>
      </c>
      <c r="E40" s="14"/>
      <c r="F40" s="14"/>
      <c r="G40" s="14"/>
      <c r="H40" s="14"/>
      <c r="I40" s="14"/>
      <c r="J40" s="14"/>
      <c r="K40" s="14"/>
    </row>
    <row r="41" spans="2:40" x14ac:dyDescent="0.35">
      <c r="F41" s="63" t="s">
        <v>32</v>
      </c>
      <c r="G41" t="s">
        <v>33</v>
      </c>
      <c r="H41" t="s">
        <v>34</v>
      </c>
      <c r="I41" t="s">
        <v>35</v>
      </c>
    </row>
    <row r="42" spans="2:40" x14ac:dyDescent="0.35">
      <c r="D42" s="10" t="s">
        <v>38</v>
      </c>
      <c r="E42" s="10"/>
      <c r="F42" s="81">
        <v>5.9607000000000001</v>
      </c>
      <c r="G42" s="10">
        <v>6.1772</v>
      </c>
      <c r="H42" s="10">
        <v>6.1544999999999996</v>
      </c>
      <c r="I42" s="10">
        <v>6.2064000000000004</v>
      </c>
    </row>
    <row r="43" spans="2:40" x14ac:dyDescent="0.35">
      <c r="D43" s="11" t="s">
        <v>39</v>
      </c>
      <c r="E43" s="11"/>
      <c r="F43" s="85">
        <v>0.16239999999999999</v>
      </c>
      <c r="G43" s="11">
        <v>0.12280000000000001</v>
      </c>
      <c r="H43" s="11">
        <v>0.11990000000000001</v>
      </c>
      <c r="I43" s="11">
        <v>0.10249999999999999</v>
      </c>
    </row>
    <row r="44" spans="2:40" x14ac:dyDescent="0.35">
      <c r="D44" s="11" t="s">
        <v>40</v>
      </c>
      <c r="E44" s="11"/>
      <c r="F44" s="85">
        <v>4.8912000000000004</v>
      </c>
      <c r="G44" s="11">
        <v>5.1006</v>
      </c>
      <c r="H44" s="11">
        <v>5.1082000000000001</v>
      </c>
      <c r="I44" s="11">
        <v>5.1689999999999996</v>
      </c>
      <c r="M44" t="s">
        <v>41</v>
      </c>
    </row>
    <row r="45" spans="2:40" x14ac:dyDescent="0.35">
      <c r="D45" t="s">
        <v>42</v>
      </c>
      <c r="F45" s="92">
        <f>F44/(F42+F43)</f>
        <v>0.79881105975731259</v>
      </c>
      <c r="G45" s="12">
        <f t="shared" ref="G45" si="12">G44/(G42+G43)</f>
        <v>0.80961904761904768</v>
      </c>
      <c r="H45" s="12">
        <f t="shared" ref="H45" si="13">H44/(H42+H43)</f>
        <v>0.81413362233839093</v>
      </c>
      <c r="I45" s="12">
        <f t="shared" ref="I45" si="14">I44/(I42+I43)</f>
        <v>0.81931874019242645</v>
      </c>
      <c r="J45" t="s">
        <v>43</v>
      </c>
      <c r="K45" s="13">
        <f>(G45+H45+I45)/3</f>
        <v>0.81435713671662169</v>
      </c>
      <c r="M45" s="39">
        <f>_xlfn.STDEV.S(G45,H45,I45)</f>
        <v>4.8537076562635839E-3</v>
      </c>
    </row>
    <row r="46" spans="2:40" x14ac:dyDescent="0.35">
      <c r="F46" s="91"/>
    </row>
    <row r="47" spans="2:40" x14ac:dyDescent="0.35">
      <c r="D47" s="10" t="s">
        <v>44</v>
      </c>
      <c r="E47" s="10"/>
      <c r="F47" s="81">
        <v>4.7558999999999996</v>
      </c>
      <c r="G47" s="10">
        <v>5.0205000000000002</v>
      </c>
      <c r="H47" s="10">
        <v>5.0347</v>
      </c>
      <c r="I47" s="10">
        <v>5.1189</v>
      </c>
    </row>
    <row r="48" spans="2:40" x14ac:dyDescent="0.35">
      <c r="D48" s="11" t="s">
        <v>45</v>
      </c>
      <c r="E48" s="11"/>
      <c r="F48" s="85">
        <v>0.16619999999999999</v>
      </c>
      <c r="G48" s="11">
        <v>0.11409999999999999</v>
      </c>
      <c r="H48" s="11">
        <v>0.1106</v>
      </c>
      <c r="I48" s="11">
        <v>9.0800000000000006E-2</v>
      </c>
    </row>
    <row r="49" spans="2:19" x14ac:dyDescent="0.35">
      <c r="D49" s="11" t="s">
        <v>46</v>
      </c>
      <c r="E49" s="11"/>
      <c r="F49" s="85">
        <v>4.8296000000000001</v>
      </c>
      <c r="G49" s="11">
        <v>5.0679999999999996</v>
      </c>
      <c r="H49" s="11">
        <v>5.0819000000000001</v>
      </c>
      <c r="I49" s="11">
        <v>5.1615000000000002</v>
      </c>
      <c r="M49" t="s">
        <v>41</v>
      </c>
    </row>
    <row r="50" spans="2:19" x14ac:dyDescent="0.35">
      <c r="D50" t="s">
        <v>42</v>
      </c>
      <c r="F50" s="92">
        <f>F49/(F47+F48)</f>
        <v>0.9812072083053982</v>
      </c>
      <c r="G50" s="12">
        <f t="shared" ref="G50" si="15">G49/(G47+G48)</f>
        <v>0.98702917461924977</v>
      </c>
      <c r="H50" s="12">
        <f t="shared" ref="H50" si="16">H49/(H47+H48)</f>
        <v>0.98767807513653239</v>
      </c>
      <c r="I50" s="12">
        <f t="shared" ref="I50" si="17">I49/(I47+I48)</f>
        <v>0.99074802771752701</v>
      </c>
      <c r="J50" t="s">
        <v>43</v>
      </c>
      <c r="K50" s="13">
        <f>(G50+H50+I50)/3</f>
        <v>0.98848509249110306</v>
      </c>
      <c r="M50" s="39">
        <f>_xlfn.STDEV.S(G50,H50,I50)</f>
        <v>1.986435211522199E-3</v>
      </c>
    </row>
    <row r="53" spans="2:19" x14ac:dyDescent="0.35">
      <c r="B53" s="1" t="s">
        <v>53</v>
      </c>
      <c r="C53" s="1"/>
      <c r="D53" s="1"/>
      <c r="E53" s="1"/>
      <c r="F53" s="1"/>
      <c r="G53" s="1"/>
      <c r="H53" s="1"/>
      <c r="I53" s="1"/>
    </row>
    <row r="54" spans="2:19" x14ac:dyDescent="0.35">
      <c r="B54" s="2" t="s">
        <v>2</v>
      </c>
      <c r="C54" s="2" t="s">
        <v>3</v>
      </c>
      <c r="D54" s="2" t="s">
        <v>4</v>
      </c>
    </row>
    <row r="56" spans="2:19" x14ac:dyDescent="0.35">
      <c r="C56" s="2" t="s">
        <v>5</v>
      </c>
      <c r="D56" s="2"/>
      <c r="E56" s="2"/>
      <c r="F56" s="2"/>
      <c r="G56" s="2" t="s">
        <v>6</v>
      </c>
      <c r="H56" s="2" t="s">
        <v>6</v>
      </c>
    </row>
    <row r="58" spans="2:19" x14ac:dyDescent="0.35">
      <c r="B58" s="10" t="s">
        <v>54</v>
      </c>
      <c r="C58" s="10"/>
      <c r="D58" s="33" t="s">
        <v>8</v>
      </c>
      <c r="E58" s="34">
        <v>2.5100000000000001E-2</v>
      </c>
      <c r="F58" s="35" t="s">
        <v>9</v>
      </c>
      <c r="G58" s="33" t="s">
        <v>10</v>
      </c>
      <c r="H58" s="34">
        <v>3.6700000000000003E-2</v>
      </c>
      <c r="I58" s="35" t="s">
        <v>9</v>
      </c>
      <c r="J58" s="23" t="s">
        <v>11</v>
      </c>
      <c r="K58" s="24">
        <f>(H58*1000-'Material - Abmessungen'!E25)*'Material - Abmessungen'!E20*0.96</f>
        <v>5.4107071212000006</v>
      </c>
      <c r="L58" s="25" t="s">
        <v>12</v>
      </c>
      <c r="M58" s="23" t="s">
        <v>13</v>
      </c>
      <c r="N58" s="26">
        <v>5.2710999999999997</v>
      </c>
      <c r="O58" s="27" t="s">
        <v>12</v>
      </c>
      <c r="P58" s="17" t="s">
        <v>14</v>
      </c>
      <c r="Q58" s="18">
        <f>((E58*1000-'Material - Abmessungen'!E17-('Material - Abmessungen'!E49*1000))*'Material - Abmessungen'!E10*0.697)/K58</f>
        <v>3.4723623667187082</v>
      </c>
      <c r="R58" s="17" t="s">
        <v>15</v>
      </c>
      <c r="S58" s="19">
        <f>Q58^(-1)</f>
        <v>0.28798837632403379</v>
      </c>
    </row>
    <row r="59" spans="2:19" x14ac:dyDescent="0.35">
      <c r="B59" s="10" t="s">
        <v>55</v>
      </c>
      <c r="C59" s="15"/>
      <c r="D59" s="33" t="s">
        <v>17</v>
      </c>
      <c r="E59" s="37">
        <v>2.4799999999999999E-2</v>
      </c>
      <c r="F59" s="38" t="s">
        <v>9</v>
      </c>
      <c r="G59" s="36" t="s">
        <v>18</v>
      </c>
      <c r="H59" s="37">
        <v>3.7499999999999999E-2</v>
      </c>
      <c r="I59" s="38" t="s">
        <v>9</v>
      </c>
      <c r="J59" s="23" t="s">
        <v>11</v>
      </c>
      <c r="K59" s="29">
        <f>(H59*1000-'Material - Abmessungen'!E25)*'Material - Abmessungen'!E20*0.96</f>
        <v>5.5527871211999988</v>
      </c>
      <c r="L59" s="30" t="s">
        <v>12</v>
      </c>
      <c r="M59" s="28" t="s">
        <v>13</v>
      </c>
      <c r="N59" s="31">
        <v>5.3520000000000003</v>
      </c>
      <c r="O59" s="32" t="s">
        <v>12</v>
      </c>
      <c r="P59" s="20" t="s">
        <v>14</v>
      </c>
      <c r="Q59" s="21">
        <f>((E59*1000-'Material - Abmessungen'!E17-('Material - Abmessungen'!E49*1000))*'Material - Abmessungen'!E10*0.697)/K59</f>
        <v>3.248740945987016</v>
      </c>
      <c r="R59" s="20" t="s">
        <v>15</v>
      </c>
      <c r="S59" s="22">
        <f t="shared" ref="S59:S61" si="18">Q59^(-1)</f>
        <v>0.30781155426850604</v>
      </c>
    </row>
    <row r="60" spans="2:19" x14ac:dyDescent="0.35">
      <c r="B60" s="10" t="s">
        <v>56</v>
      </c>
      <c r="C60" s="15"/>
      <c r="D60" s="36" t="s">
        <v>20</v>
      </c>
      <c r="E60" s="37">
        <v>2.5100000000000001E-2</v>
      </c>
      <c r="F60" s="38" t="s">
        <v>9</v>
      </c>
      <c r="G60" s="36" t="s">
        <v>21</v>
      </c>
      <c r="H60" s="37">
        <v>3.7600000000000001E-2</v>
      </c>
      <c r="I60" s="38" t="s">
        <v>9</v>
      </c>
      <c r="J60" s="23" t="s">
        <v>11</v>
      </c>
      <c r="K60" s="29">
        <f>(H60*1000-'Material - Abmessungen'!E25)*'Material - Abmessungen'!E20*0.96</f>
        <v>5.5705471211999997</v>
      </c>
      <c r="L60" s="30" t="s">
        <v>12</v>
      </c>
      <c r="M60" s="28" t="s">
        <v>13</v>
      </c>
      <c r="N60" s="31">
        <v>5.3522999999999996</v>
      </c>
      <c r="O60" s="32" t="s">
        <v>12</v>
      </c>
      <c r="P60" s="20" t="s">
        <v>14</v>
      </c>
      <c r="Q60" s="21">
        <f>((E60*1000-'Material - Abmessungen'!E17-('Material - Abmessungen'!E49*1000))*'Material - Abmessungen'!E10*0.697)/K60</f>
        <v>3.3727271982836275</v>
      </c>
      <c r="R60" s="20" t="s">
        <v>15</v>
      </c>
      <c r="S60" s="22">
        <f t="shared" si="18"/>
        <v>0.29649596341764539</v>
      </c>
    </row>
    <row r="61" spans="2:19" x14ac:dyDescent="0.35">
      <c r="B61" s="10" t="s">
        <v>57</v>
      </c>
      <c r="C61" s="11"/>
      <c r="D61" s="36" t="s">
        <v>23</v>
      </c>
      <c r="E61" s="37">
        <v>2.4899999999999999E-2</v>
      </c>
      <c r="F61" s="38" t="s">
        <v>9</v>
      </c>
      <c r="G61" s="36" t="s">
        <v>24</v>
      </c>
      <c r="H61" s="37">
        <v>3.6799999999999999E-2</v>
      </c>
      <c r="I61" s="38" t="s">
        <v>9</v>
      </c>
      <c r="J61" s="23" t="s">
        <v>11</v>
      </c>
      <c r="K61" s="29">
        <f>(H61*1000-'Material - Abmessungen'!E25)*'Material - Abmessungen'!E20*0.96</f>
        <v>5.4284671211999989</v>
      </c>
      <c r="L61" s="30" t="s">
        <v>12</v>
      </c>
      <c r="M61" s="28" t="s">
        <v>13</v>
      </c>
      <c r="N61" s="31">
        <v>5.0218999999999996</v>
      </c>
      <c r="O61" s="32" t="s">
        <v>12</v>
      </c>
      <c r="P61" s="40" t="s">
        <v>14</v>
      </c>
      <c r="Q61" s="21">
        <f>((E61*1000-'Material - Abmessungen'!E17-('Material - Abmessungen'!E49*1000))*'Material - Abmessungen'!E10*0.697)/K61</f>
        <v>3.3690953222442812</v>
      </c>
      <c r="R61" s="40" t="s">
        <v>15</v>
      </c>
      <c r="S61" s="22">
        <f t="shared" si="18"/>
        <v>0.29681558529898239</v>
      </c>
    </row>
    <row r="63" spans="2:19" x14ac:dyDescent="0.35">
      <c r="D63" s="14" t="s">
        <v>31</v>
      </c>
      <c r="E63" s="14"/>
      <c r="F63" s="14"/>
      <c r="G63" s="14"/>
      <c r="H63" s="14"/>
      <c r="I63" s="14"/>
      <c r="J63" s="14"/>
      <c r="K63" s="14"/>
    </row>
    <row r="64" spans="2:19" x14ac:dyDescent="0.35">
      <c r="F64" t="s">
        <v>32</v>
      </c>
      <c r="G64" t="s">
        <v>33</v>
      </c>
      <c r="H64" t="s">
        <v>34</v>
      </c>
      <c r="I64" t="s">
        <v>35</v>
      </c>
    </row>
    <row r="65" spans="2:13" x14ac:dyDescent="0.35">
      <c r="D65" s="10" t="s">
        <v>38</v>
      </c>
      <c r="E65" s="10"/>
      <c r="F65" s="10">
        <v>6.3270999999999997</v>
      </c>
      <c r="G65" s="10">
        <v>6.4398999999999997</v>
      </c>
      <c r="H65" s="10">
        <v>6.4214000000000002</v>
      </c>
      <c r="I65" s="10">
        <v>6.0894000000000004</v>
      </c>
    </row>
    <row r="66" spans="2:13" x14ac:dyDescent="0.35">
      <c r="D66" s="11" t="s">
        <v>39</v>
      </c>
      <c r="E66" s="11"/>
      <c r="F66" s="11">
        <v>9.8699999999999996E-2</v>
      </c>
      <c r="G66" s="11">
        <v>9.9900000000000003E-2</v>
      </c>
      <c r="H66" s="11">
        <v>0.10100000000000001</v>
      </c>
      <c r="I66" s="11">
        <v>0.11210000000000001</v>
      </c>
    </row>
    <row r="67" spans="2:13" x14ac:dyDescent="0.35">
      <c r="D67" s="11" t="s">
        <v>40</v>
      </c>
      <c r="E67" s="11"/>
      <c r="F67" s="11">
        <v>5.2770000000000001</v>
      </c>
      <c r="G67" s="11">
        <v>5.3582000000000001</v>
      </c>
      <c r="H67" s="11">
        <v>5.3552999999999997</v>
      </c>
      <c r="I67" s="11">
        <v>5.0189000000000004</v>
      </c>
      <c r="M67" t="s">
        <v>41</v>
      </c>
    </row>
    <row r="68" spans="2:13" x14ac:dyDescent="0.35">
      <c r="D68" t="s">
        <v>42</v>
      </c>
      <c r="F68" s="12">
        <f>F67/(F65+F66)</f>
        <v>0.82122070403685155</v>
      </c>
      <c r="G68" s="12">
        <f t="shared" ref="G68" si="19">G67/(G65+G66)</f>
        <v>0.81932169179485614</v>
      </c>
      <c r="H68" s="12">
        <f t="shared" ref="H68" si="20">H67/(H65+H66)</f>
        <v>0.82106279896970435</v>
      </c>
      <c r="I68" s="12">
        <f t="shared" ref="I68" si="21">I67/(I65+I66)</f>
        <v>0.80930420059662989</v>
      </c>
      <c r="J68" t="s">
        <v>43</v>
      </c>
      <c r="K68" s="13">
        <f>(F68+G68+H68+I68)/4</f>
        <v>0.81772734884951048</v>
      </c>
      <c r="M68" s="39">
        <f>_xlfn.STDEV.S(F68,G68,H68,I68)</f>
        <v>5.6809657009644337E-3</v>
      </c>
    </row>
    <row r="70" spans="2:13" x14ac:dyDescent="0.35">
      <c r="D70" s="10" t="s">
        <v>44</v>
      </c>
      <c r="E70" s="10"/>
      <c r="F70" s="10">
        <v>5.2334300000000002</v>
      </c>
      <c r="G70" s="10">
        <v>5.3159999999999998</v>
      </c>
      <c r="H70" s="10">
        <v>5.3128000000000002</v>
      </c>
      <c r="I70" s="10">
        <v>4.9715999999999996</v>
      </c>
    </row>
    <row r="71" spans="2:13" x14ac:dyDescent="0.35">
      <c r="D71" s="11" t="s">
        <v>45</v>
      </c>
      <c r="E71" s="11"/>
      <c r="F71" s="11">
        <v>8.4500000000000006E-2</v>
      </c>
      <c r="G71" s="11">
        <v>8.4599999999999995E-2</v>
      </c>
      <c r="H71" s="11">
        <v>8.4500000000000006E-2</v>
      </c>
      <c r="I71" s="11">
        <v>9.1899999999999996E-2</v>
      </c>
    </row>
    <row r="72" spans="2:13" x14ac:dyDescent="0.35">
      <c r="D72" s="11" t="s">
        <v>46</v>
      </c>
      <c r="E72" s="11"/>
      <c r="F72" s="11">
        <v>5.2710999999999997</v>
      </c>
      <c r="G72" s="11">
        <v>5.3520000000000003</v>
      </c>
      <c r="H72" s="11">
        <v>5.3522999999999996</v>
      </c>
      <c r="I72" s="11">
        <v>5.0218999999999996</v>
      </c>
      <c r="M72" t="s">
        <v>41</v>
      </c>
    </row>
    <row r="73" spans="2:13" x14ac:dyDescent="0.35">
      <c r="D73" t="s">
        <v>42</v>
      </c>
      <c r="F73" s="12">
        <f>F72/(F70+F71)</f>
        <v>0.99119394200374944</v>
      </c>
      <c r="G73" s="12">
        <f t="shared" ref="G73" si="22">G72/(G70+G71)</f>
        <v>0.99100099988890133</v>
      </c>
      <c r="H73" s="12">
        <f t="shared" ref="H73" si="23">H72/(H70+H71)</f>
        <v>0.99166249791562433</v>
      </c>
      <c r="I73" s="12">
        <f t="shared" ref="I73" si="24">I72/(I70+I71)</f>
        <v>0.99178433889602058</v>
      </c>
      <c r="J73" t="s">
        <v>43</v>
      </c>
      <c r="K73" s="13">
        <f>(F73+G73+H73+I73)/4</f>
        <v>0.99141044467607387</v>
      </c>
      <c r="M73" s="39">
        <f>_xlfn.STDEV.S(F73,G73,H73,I73)</f>
        <v>3.7320511078307487E-4</v>
      </c>
    </row>
    <row r="76" spans="2:13" x14ac:dyDescent="0.35">
      <c r="B76" s="1" t="s">
        <v>58</v>
      </c>
      <c r="C76" s="1"/>
      <c r="D76" s="1"/>
      <c r="E76" s="1"/>
      <c r="F76" s="1"/>
      <c r="G76" s="1"/>
      <c r="H76" s="1"/>
      <c r="I76" s="1"/>
    </row>
    <row r="77" spans="2:13" x14ac:dyDescent="0.35">
      <c r="B77" s="2" t="s">
        <v>2</v>
      </c>
      <c r="C77" s="2" t="s">
        <v>3</v>
      </c>
      <c r="D77" s="2" t="s">
        <v>4</v>
      </c>
    </row>
    <row r="79" spans="2:13" x14ac:dyDescent="0.35">
      <c r="C79" s="2" t="s">
        <v>5</v>
      </c>
      <c r="D79" s="2"/>
      <c r="E79" s="2"/>
      <c r="F79" s="2"/>
      <c r="G79" s="2" t="s">
        <v>6</v>
      </c>
      <c r="H79" s="2" t="s">
        <v>6</v>
      </c>
    </row>
    <row r="81" spans="2:29" x14ac:dyDescent="0.35">
      <c r="B81" s="10" t="s">
        <v>59</v>
      </c>
      <c r="C81" s="10"/>
      <c r="D81" s="33" t="s">
        <v>8</v>
      </c>
      <c r="E81" s="34">
        <v>2.53E-2</v>
      </c>
      <c r="F81" s="35" t="s">
        <v>9</v>
      </c>
      <c r="G81" s="33" t="s">
        <v>10</v>
      </c>
      <c r="H81" s="34">
        <v>3.6200000000000003E-2</v>
      </c>
      <c r="I81" s="35" t="s">
        <v>9</v>
      </c>
      <c r="J81" s="23" t="s">
        <v>11</v>
      </c>
      <c r="K81" s="24">
        <f>(H81*1000-'Material - Abmessungen'!E25)*'Material - Abmessungen'!E20*0.96</f>
        <v>5.3219071211999998</v>
      </c>
      <c r="L81" s="25" t="s">
        <v>12</v>
      </c>
      <c r="M81" s="23" t="s">
        <v>13</v>
      </c>
      <c r="N81" s="26">
        <v>5.0625</v>
      </c>
      <c r="O81" s="27" t="s">
        <v>12</v>
      </c>
      <c r="P81" s="17" t="s">
        <v>14</v>
      </c>
      <c r="Q81" s="18">
        <f>((E61*1000-'Material - Abmessungen'!E17-('Material - Abmessungen'!E49*1000))*'Material - Abmessungen'!E10*0.697)/K81</f>
        <v>3.4365543720477274</v>
      </c>
      <c r="R81" s="17" t="s">
        <v>15</v>
      </c>
      <c r="S81" s="19">
        <f>Q81^(-1)</f>
        <v>0.29098913962596018</v>
      </c>
    </row>
    <row r="82" spans="2:29" x14ac:dyDescent="0.35">
      <c r="B82" s="10" t="s">
        <v>60</v>
      </c>
      <c r="C82" s="15"/>
      <c r="D82" s="33" t="s">
        <v>17</v>
      </c>
      <c r="E82" s="37">
        <v>2.5100000000000001E-2</v>
      </c>
      <c r="F82" s="38" t="s">
        <v>9</v>
      </c>
      <c r="G82" s="36" t="s">
        <v>18</v>
      </c>
      <c r="H82" s="37">
        <v>3.5700000000000003E-2</v>
      </c>
      <c r="I82" s="38" t="s">
        <v>9</v>
      </c>
      <c r="J82" s="23" t="s">
        <v>11</v>
      </c>
      <c r="K82" s="29">
        <f>(H82*1000-'Material - Abmessungen'!E25)*'Material - Abmessungen'!E20*0.96</f>
        <v>5.2331071211999998</v>
      </c>
      <c r="L82" s="30" t="s">
        <v>12</v>
      </c>
      <c r="M82" s="28" t="s">
        <v>13</v>
      </c>
      <c r="N82" s="31">
        <v>4.9025999999999996</v>
      </c>
      <c r="O82" s="32" t="s">
        <v>12</v>
      </c>
      <c r="P82" s="20" t="s">
        <v>14</v>
      </c>
      <c r="Q82" s="18">
        <f>((E61*1000-'Material - Abmessungen'!E17-('Material - Abmessungen'!E49*1000))*'Material - Abmessungen'!E10*0.697)/K82</f>
        <v>3.4948688726245591</v>
      </c>
      <c r="R82" s="20" t="s">
        <v>15</v>
      </c>
      <c r="S82" s="22">
        <f t="shared" ref="S82:S86" si="25">Q82^(-1)</f>
        <v>0.28613376823177489</v>
      </c>
    </row>
    <row r="83" spans="2:29" x14ac:dyDescent="0.35">
      <c r="B83" s="10" t="s">
        <v>61</v>
      </c>
      <c r="C83" s="15"/>
      <c r="D83" s="36" t="s">
        <v>20</v>
      </c>
      <c r="E83" s="37">
        <v>2.4899999999999999E-2</v>
      </c>
      <c r="F83" s="38" t="s">
        <v>9</v>
      </c>
      <c r="G83" s="36" t="s">
        <v>21</v>
      </c>
      <c r="H83" s="37">
        <v>3.5999999999999997E-2</v>
      </c>
      <c r="I83" s="38" t="s">
        <v>9</v>
      </c>
      <c r="J83" s="23" t="s">
        <v>11</v>
      </c>
      <c r="K83" s="29">
        <f>(H83*1000-'Material - Abmessungen'!E25)*'Material - Abmessungen'!E20*0.96</f>
        <v>5.2863871211999989</v>
      </c>
      <c r="L83" s="30" t="s">
        <v>12</v>
      </c>
      <c r="M83" s="28" t="s">
        <v>13</v>
      </c>
      <c r="N83" s="31">
        <v>4.9253999999999998</v>
      </c>
      <c r="O83" s="32" t="s">
        <v>12</v>
      </c>
      <c r="P83" s="20" t="s">
        <v>14</v>
      </c>
      <c r="Q83" s="18">
        <f>((E61*1000-'Material - Abmessungen'!E17-('Material - Abmessungen'!E49*1000))*'Material - Abmessungen'!E10*0.697)/K83</f>
        <v>3.4596450781380201</v>
      </c>
      <c r="R83" s="20" t="s">
        <v>15</v>
      </c>
      <c r="S83" s="22">
        <f t="shared" si="25"/>
        <v>0.28904699106828602</v>
      </c>
    </row>
    <row r="84" spans="2:29" x14ac:dyDescent="0.35">
      <c r="B84" s="10" t="s">
        <v>62</v>
      </c>
      <c r="C84" s="15"/>
      <c r="D84" s="36" t="s">
        <v>23</v>
      </c>
      <c r="E84" s="37">
        <v>2.47E-2</v>
      </c>
      <c r="F84" s="38" t="s">
        <v>9</v>
      </c>
      <c r="G84" s="36" t="s">
        <v>24</v>
      </c>
      <c r="H84" s="37">
        <v>3.5900000000000001E-2</v>
      </c>
      <c r="I84" s="38" t="s">
        <v>9</v>
      </c>
      <c r="J84" s="23" t="s">
        <v>11</v>
      </c>
      <c r="K84" s="29">
        <f>(H84*1000-'Material - Abmessungen'!E25)*'Material - Abmessungen'!E20*0.96</f>
        <v>5.2686271211999989</v>
      </c>
      <c r="L84" s="30" t="s">
        <v>12</v>
      </c>
      <c r="M84" s="28" t="s">
        <v>13</v>
      </c>
      <c r="N84" s="31">
        <v>5.0248999999999997</v>
      </c>
      <c r="O84" s="32" t="s">
        <v>12</v>
      </c>
      <c r="P84" s="40" t="s">
        <v>14</v>
      </c>
      <c r="Q84" s="18">
        <f>((E61*1000-'Material - Abmessungen'!E17-('Material - Abmessungen'!E49*1000))*'Material - Abmessungen'!E10*0.697)/K84</f>
        <v>3.4713071857752253</v>
      </c>
      <c r="R84" s="40" t="s">
        <v>15</v>
      </c>
      <c r="S84" s="22">
        <f t="shared" si="25"/>
        <v>0.28807591678944894</v>
      </c>
    </row>
    <row r="85" spans="2:29" x14ac:dyDescent="0.35">
      <c r="B85" s="97" t="s">
        <v>63</v>
      </c>
      <c r="C85" s="99"/>
      <c r="D85" s="103" t="s">
        <v>26</v>
      </c>
      <c r="E85" s="101">
        <v>2.52E-2</v>
      </c>
      <c r="F85" s="102" t="s">
        <v>9</v>
      </c>
      <c r="G85" s="103" t="s">
        <v>27</v>
      </c>
      <c r="H85" s="101">
        <v>3.5999999999999997E-2</v>
      </c>
      <c r="I85" s="102" t="s">
        <v>9</v>
      </c>
      <c r="J85" s="23" t="s">
        <v>11</v>
      </c>
      <c r="K85" s="108">
        <f>(H85*1000-'Material - Abmessungen'!E25)*'Material - Abmessungen'!E20*0.96</f>
        <v>5.2863871211999989</v>
      </c>
      <c r="L85" s="109" t="s">
        <v>12</v>
      </c>
      <c r="M85" s="107" t="s">
        <v>13</v>
      </c>
      <c r="N85" s="110">
        <v>5.0323000000000002</v>
      </c>
      <c r="O85" s="109" t="s">
        <v>12</v>
      </c>
      <c r="P85" s="40" t="s">
        <v>14</v>
      </c>
      <c r="Q85" s="18">
        <f>((E61*1000-'Material - Abmessungen'!E17-('Material - Abmessungen'!E49*1000))*'Material - Abmessungen'!E10*0.697)/K85</f>
        <v>3.4596450781380201</v>
      </c>
      <c r="R85" s="20" t="s">
        <v>15</v>
      </c>
      <c r="S85" s="22">
        <f t="shared" si="25"/>
        <v>0.28904699106828602</v>
      </c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2:29" x14ac:dyDescent="0.35">
      <c r="B86" s="97" t="s">
        <v>64</v>
      </c>
      <c r="C86" s="99"/>
      <c r="D86" s="103" t="s">
        <v>29</v>
      </c>
      <c r="E86" s="101">
        <v>2.5000000000000001E-2</v>
      </c>
      <c r="F86" s="102" t="s">
        <v>9</v>
      </c>
      <c r="G86" s="103" t="s">
        <v>30</v>
      </c>
      <c r="H86" s="101">
        <v>3.5999999999999997E-2</v>
      </c>
      <c r="I86" s="102" t="s">
        <v>9</v>
      </c>
      <c r="J86" s="23" t="s">
        <v>11</v>
      </c>
      <c r="K86" s="108">
        <f>(H86*1000-'Material - Abmessungen'!E25)*'Material - Abmessungen'!E20*0.96</f>
        <v>5.2863871211999989</v>
      </c>
      <c r="L86" s="111" t="s">
        <v>12</v>
      </c>
      <c r="M86" s="107" t="s">
        <v>13</v>
      </c>
      <c r="N86" s="110">
        <v>5.0857999999999999</v>
      </c>
      <c r="O86" s="111" t="s">
        <v>12</v>
      </c>
      <c r="P86" s="20" t="s">
        <v>14</v>
      </c>
      <c r="Q86" s="18">
        <f>((E61*1000-'Material - Abmessungen'!E17-('Material - Abmessungen'!E49*1000))*'Material - Abmessungen'!E10*0.697)/K86</f>
        <v>3.4596450781380201</v>
      </c>
      <c r="R86" s="20" t="s">
        <v>15</v>
      </c>
      <c r="S86" s="22">
        <f t="shared" si="25"/>
        <v>0.28904699106828602</v>
      </c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8" spans="2:29" x14ac:dyDescent="0.35">
      <c r="D88" s="14" t="s">
        <v>31</v>
      </c>
      <c r="E88" s="14"/>
      <c r="F88" s="14"/>
      <c r="G88" s="14"/>
      <c r="H88" s="14"/>
      <c r="I88" s="14"/>
      <c r="J88" s="14"/>
      <c r="K88" s="14"/>
    </row>
    <row r="89" spans="2:29" x14ac:dyDescent="0.35">
      <c r="F89" t="s">
        <v>32</v>
      </c>
      <c r="G89" t="s">
        <v>33</v>
      </c>
      <c r="H89" t="s">
        <v>34</v>
      </c>
      <c r="I89" t="s">
        <v>35</v>
      </c>
      <c r="J89" s="44" t="s">
        <v>36</v>
      </c>
      <c r="K89" s="44" t="s">
        <v>37</v>
      </c>
    </row>
    <row r="90" spans="2:29" x14ac:dyDescent="0.35">
      <c r="D90" s="10" t="s">
        <v>38</v>
      </c>
      <c r="E90" s="10"/>
      <c r="F90" s="10">
        <v>6.1037600000000003</v>
      </c>
      <c r="G90" s="10">
        <v>5.9846500000000002</v>
      </c>
      <c r="H90" s="10">
        <v>5.9388800000000002</v>
      </c>
      <c r="I90" s="10">
        <v>6.0651200000000003</v>
      </c>
      <c r="J90" s="97">
        <v>6.0708200000000003</v>
      </c>
      <c r="K90" s="97">
        <v>6.1014699999999999</v>
      </c>
    </row>
    <row r="91" spans="2:29" x14ac:dyDescent="0.35">
      <c r="D91" s="11" t="s">
        <v>39</v>
      </c>
      <c r="E91" s="11"/>
      <c r="F91" s="11">
        <v>0.10124</v>
      </c>
      <c r="G91" s="11">
        <v>0.10975</v>
      </c>
      <c r="H91" s="11">
        <v>0.10315000000000001</v>
      </c>
      <c r="I91" s="11">
        <v>0.10258</v>
      </c>
      <c r="J91" s="99">
        <v>0.10026</v>
      </c>
      <c r="K91" s="99">
        <v>0.10029</v>
      </c>
    </row>
    <row r="92" spans="2:29" x14ac:dyDescent="0.35">
      <c r="D92" s="11" t="s">
        <v>40</v>
      </c>
      <c r="E92" s="11"/>
      <c r="F92" s="11">
        <v>5.0532899999999996</v>
      </c>
      <c r="G92" s="11">
        <v>4.9092599999999997</v>
      </c>
      <c r="H92" s="11">
        <v>4.9140300000000003</v>
      </c>
      <c r="I92" s="11">
        <v>5.0179400000000003</v>
      </c>
      <c r="J92" s="99">
        <v>5.02475</v>
      </c>
      <c r="K92" s="99">
        <v>5.0744699999999998</v>
      </c>
      <c r="O92" t="s">
        <v>41</v>
      </c>
    </row>
    <row r="93" spans="2:29" x14ac:dyDescent="0.35">
      <c r="D93" t="s">
        <v>42</v>
      </c>
      <c r="F93" s="12">
        <f>F92/(F90+F91)</f>
        <v>0.81439000805801764</v>
      </c>
      <c r="G93" s="12">
        <f t="shared" ref="G93" si="26">G92/(G90+G91)</f>
        <v>0.80553622998162244</v>
      </c>
      <c r="H93" s="12">
        <f t="shared" ref="H93" si="27">H92/(H90+H91)</f>
        <v>0.81330777900804863</v>
      </c>
      <c r="I93" s="12">
        <f t="shared" ref="I93" si="28">I92/(I90+I91)</f>
        <v>0.81358366976344509</v>
      </c>
      <c r="J93" s="12">
        <f t="shared" ref="J93" si="29">J92/(J90+J91)</f>
        <v>0.81424159142321928</v>
      </c>
      <c r="K93" s="12">
        <f t="shared" ref="K93" si="30">K92/(K90+K91)</f>
        <v>0.81823063130466189</v>
      </c>
      <c r="L93" t="s">
        <v>43</v>
      </c>
      <c r="M93" s="13">
        <f>(F93+G93+H93+I93+J93+K93)/6</f>
        <v>0.81321498492316913</v>
      </c>
      <c r="O93" s="39">
        <f>_xlfn.STDEV.S(F93,G93,H93,I93,J93,K93)</f>
        <v>4.1641115643921336E-3</v>
      </c>
    </row>
    <row r="94" spans="2:29" x14ac:dyDescent="0.35">
      <c r="J94" s="43"/>
      <c r="K94" s="43"/>
    </row>
    <row r="95" spans="2:29" x14ac:dyDescent="0.35">
      <c r="D95" s="10" t="s">
        <v>44</v>
      </c>
      <c r="E95" s="10"/>
      <c r="F95" s="10">
        <v>5.0120899999999997</v>
      </c>
      <c r="G95" s="10">
        <v>4.8547099999999999</v>
      </c>
      <c r="H95" s="10">
        <v>4.8685999999999998</v>
      </c>
      <c r="I95" s="10">
        <v>4.9768600000000003</v>
      </c>
      <c r="J95" s="97">
        <v>4.9816799999999999</v>
      </c>
      <c r="K95" s="97">
        <v>5.0327500000000001</v>
      </c>
    </row>
    <row r="96" spans="2:29" x14ac:dyDescent="0.35">
      <c r="D96" s="11" t="s">
        <v>45</v>
      </c>
      <c r="E96" s="11"/>
      <c r="F96" s="11">
        <v>8.2070000000000004E-2</v>
      </c>
      <c r="G96" s="11">
        <v>9.4140000000000001E-2</v>
      </c>
      <c r="H96" s="11">
        <v>8.5089999999999999E-2</v>
      </c>
      <c r="I96" s="11">
        <v>8.3949999999999997E-2</v>
      </c>
      <c r="J96" s="99">
        <v>8.2830000000000001E-2</v>
      </c>
      <c r="K96" s="99">
        <v>8.1979999999999997E-2</v>
      </c>
    </row>
    <row r="97" spans="4:15" x14ac:dyDescent="0.35">
      <c r="D97" s="11" t="s">
        <v>46</v>
      </c>
      <c r="E97" s="11"/>
      <c r="F97" s="11">
        <v>5.0625</v>
      </c>
      <c r="G97" s="11">
        <v>4.9025699999999999</v>
      </c>
      <c r="H97" s="11">
        <v>4.92544</v>
      </c>
      <c r="I97" s="11">
        <v>5.0248799999999996</v>
      </c>
      <c r="J97" s="99">
        <v>5.03233</v>
      </c>
      <c r="K97" s="99">
        <v>5.0857900000000003</v>
      </c>
      <c r="O97" t="s">
        <v>41</v>
      </c>
    </row>
    <row r="98" spans="4:15" x14ac:dyDescent="0.35">
      <c r="D98" t="s">
        <v>42</v>
      </c>
      <c r="F98" s="12">
        <f>F97/(F95+F96)</f>
        <v>0.99378504012437785</v>
      </c>
      <c r="G98" s="12">
        <f t="shared" ref="G98" si="31">G97/(G95+G96)</f>
        <v>0.99064833244087003</v>
      </c>
      <c r="H98" s="12">
        <f t="shared" ref="H98" si="32">H97/(H95+H96)</f>
        <v>0.99429718048565818</v>
      </c>
      <c r="I98" s="12">
        <f t="shared" ref="I98" si="33">I97/(I95+I96)</f>
        <v>0.99290034599204469</v>
      </c>
      <c r="J98" s="12">
        <f t="shared" ref="J98" si="34">J97/(J95+J96)</f>
        <v>0.99364597957156753</v>
      </c>
      <c r="K98" s="12">
        <f t="shared" ref="K98" si="35">K97/(K95+K96)</f>
        <v>0.9943418323156844</v>
      </c>
      <c r="L98" t="s">
        <v>43</v>
      </c>
      <c r="M98" s="13">
        <f>(F98+G98+H98+I98+J98+K98)/6</f>
        <v>0.99326978515503372</v>
      </c>
      <c r="O98" s="39">
        <f>_xlfn.STDEV.S(F98,G98,H98,I98,J98,K98)</f>
        <v>1.3871074817950774E-3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05"/>
  <sheetViews>
    <sheetView workbookViewId="0"/>
  </sheetViews>
  <sheetFormatPr baseColWidth="10" defaultRowHeight="14.5" x14ac:dyDescent="0.35"/>
  <cols>
    <col min="2" max="2" width="34.1796875" customWidth="1"/>
    <col min="4" max="4" width="12.6328125" customWidth="1"/>
    <col min="5" max="5" width="17.54296875" customWidth="1"/>
    <col min="7" max="7" width="13.453125" customWidth="1"/>
    <col min="8" max="8" width="14.90625" customWidth="1"/>
    <col min="10" max="10" width="37.6328125" customWidth="1"/>
    <col min="12" max="12" width="20.90625" customWidth="1"/>
    <col min="13" max="13" width="28.6328125" customWidth="1"/>
    <col min="15" max="15" width="19" customWidth="1"/>
    <col min="16" max="16" width="16" customWidth="1"/>
    <col min="17" max="17" width="9.54296875" customWidth="1"/>
    <col min="18" max="18" width="23.36328125" customWidth="1"/>
  </cols>
  <sheetData>
    <row r="2" spans="2:19" x14ac:dyDescent="0.35">
      <c r="B2" s="1" t="s">
        <v>65</v>
      </c>
      <c r="C2" s="75"/>
      <c r="D2" s="75"/>
      <c r="E2" s="75"/>
      <c r="F2" s="1"/>
    </row>
    <row r="5" spans="2:19" x14ac:dyDescent="0.35">
      <c r="B5" s="1" t="s">
        <v>66</v>
      </c>
      <c r="C5" s="1"/>
      <c r="D5" s="1"/>
      <c r="E5" s="1"/>
      <c r="F5" s="1"/>
      <c r="G5" s="1"/>
      <c r="H5" s="1"/>
      <c r="I5" s="1"/>
    </row>
    <row r="6" spans="2:19" x14ac:dyDescent="0.35">
      <c r="B6" s="2" t="s">
        <v>2</v>
      </c>
      <c r="C6" s="2" t="s">
        <v>3</v>
      </c>
      <c r="D6" s="2" t="s">
        <v>4</v>
      </c>
    </row>
    <row r="8" spans="2:19" x14ac:dyDescent="0.35">
      <c r="C8" s="2" t="s">
        <v>5</v>
      </c>
      <c r="D8" s="2"/>
      <c r="E8" s="2"/>
      <c r="F8" s="2"/>
      <c r="G8" s="2" t="s">
        <v>6</v>
      </c>
      <c r="H8" s="2" t="s">
        <v>6</v>
      </c>
    </row>
    <row r="10" spans="2:19" x14ac:dyDescent="0.35">
      <c r="B10" s="10" t="s">
        <v>67</v>
      </c>
      <c r="C10" s="10"/>
      <c r="D10" s="33" t="s">
        <v>8</v>
      </c>
      <c r="E10" s="34">
        <v>0.16370000000000001</v>
      </c>
      <c r="F10" s="35" t="s">
        <v>9</v>
      </c>
      <c r="G10" s="33" t="s">
        <v>10</v>
      </c>
      <c r="H10" s="34">
        <v>0.19989999999999999</v>
      </c>
      <c r="I10" s="35" t="s">
        <v>9</v>
      </c>
      <c r="J10" s="23" t="s">
        <v>11</v>
      </c>
      <c r="K10" s="24">
        <f>(H10*1000-'Material - Abmessungen'!E33)*'Material - Abmessungen'!E28*0.96</f>
        <v>30.397538080319997</v>
      </c>
      <c r="L10" s="25" t="s">
        <v>12</v>
      </c>
      <c r="M10" s="23" t="s">
        <v>13</v>
      </c>
      <c r="N10" s="26">
        <v>28.542000000000002</v>
      </c>
      <c r="O10" s="27" t="s">
        <v>12</v>
      </c>
      <c r="P10" s="17" t="s">
        <v>14</v>
      </c>
      <c r="Q10" s="18">
        <f>((E10*1000-'Material - Abmessungen'!E44-('Material - Abmessungen'!E49*1000))*'Material - Abmessungen'!E38*0.697)/K10</f>
        <v>3.9749080246583968</v>
      </c>
      <c r="R10" s="17" t="s">
        <v>15</v>
      </c>
      <c r="S10" s="19">
        <f>Q10^(-1)</f>
        <v>0.25157814817260832</v>
      </c>
    </row>
    <row r="11" spans="2:19" x14ac:dyDescent="0.35">
      <c r="B11" s="10" t="s">
        <v>68</v>
      </c>
      <c r="C11" s="15"/>
      <c r="D11" s="33" t="s">
        <v>17</v>
      </c>
      <c r="E11" s="37">
        <v>0.16020000000000001</v>
      </c>
      <c r="F11" s="38" t="s">
        <v>9</v>
      </c>
      <c r="G11" s="36" t="s">
        <v>18</v>
      </c>
      <c r="H11" s="37">
        <v>0.19939999999999999</v>
      </c>
      <c r="I11" s="38" t="s">
        <v>9</v>
      </c>
      <c r="J11" s="23" t="s">
        <v>11</v>
      </c>
      <c r="K11" s="29">
        <f>(H11*1000-'Material - Abmessungen'!E33)*'Material - Abmessungen'!E28*0.96</f>
        <v>30.30633808032</v>
      </c>
      <c r="L11" s="30" t="s">
        <v>12</v>
      </c>
      <c r="M11" s="28" t="s">
        <v>13</v>
      </c>
      <c r="N11" s="31">
        <v>28.379000000000001</v>
      </c>
      <c r="O11" s="32" t="s">
        <v>12</v>
      </c>
      <c r="P11" s="20" t="s">
        <v>14</v>
      </c>
      <c r="Q11" s="21">
        <f>((E11*1000-'Material - Abmessungen'!E44-('Material - Abmessungen'!E49*1000))*'Material - Abmessungen'!E38*0.697)/K11</f>
        <v>3.6987790226663884</v>
      </c>
      <c r="R11" s="20" t="s">
        <v>15</v>
      </c>
      <c r="S11" s="22">
        <f t="shared" ref="S11:S12" si="0">Q11^(-1)</f>
        <v>0.27035948724482506</v>
      </c>
    </row>
    <row r="12" spans="2:19" x14ac:dyDescent="0.35">
      <c r="B12" s="10" t="s">
        <v>69</v>
      </c>
      <c r="C12" s="15"/>
      <c r="D12" s="36" t="s">
        <v>20</v>
      </c>
      <c r="E12" s="37">
        <v>0.1608</v>
      </c>
      <c r="F12" s="38" t="s">
        <v>9</v>
      </c>
      <c r="G12" s="36" t="s">
        <v>21</v>
      </c>
      <c r="H12" s="37">
        <v>0.19989999999999999</v>
      </c>
      <c r="I12" s="38" t="s">
        <v>9</v>
      </c>
      <c r="J12" s="23" t="s">
        <v>11</v>
      </c>
      <c r="K12" s="29">
        <f>(H12*1000-'Material - Abmessungen'!E33)*'Material - Abmessungen'!E28*0.96</f>
        <v>30.397538080319997</v>
      </c>
      <c r="L12" s="30" t="s">
        <v>12</v>
      </c>
      <c r="M12" s="28" t="s">
        <v>13</v>
      </c>
      <c r="N12" s="31">
        <v>28.529</v>
      </c>
      <c r="O12" s="32" t="s">
        <v>12</v>
      </c>
      <c r="P12" s="20" t="s">
        <v>14</v>
      </c>
      <c r="Q12" s="21">
        <f>((E12*1000-'Material - Abmessungen'!E44-('Material - Abmessungen'!E49*1000))*'Material - Abmessungen'!E38*0.697)/K12</f>
        <v>3.7369205705137603</v>
      </c>
      <c r="R12" s="20" t="s">
        <v>15</v>
      </c>
      <c r="S12" s="22">
        <f t="shared" si="0"/>
        <v>0.26760001480644735</v>
      </c>
    </row>
    <row r="14" spans="2:19" x14ac:dyDescent="0.35">
      <c r="D14" s="14" t="s">
        <v>31</v>
      </c>
      <c r="E14" s="14"/>
      <c r="F14" s="14"/>
      <c r="G14" s="14"/>
      <c r="H14" s="14"/>
      <c r="I14" s="44"/>
      <c r="J14" s="44"/>
      <c r="K14" s="44"/>
    </row>
    <row r="15" spans="2:19" x14ac:dyDescent="0.35">
      <c r="F15" t="s">
        <v>32</v>
      </c>
      <c r="G15" t="s">
        <v>33</v>
      </c>
      <c r="H15" t="s">
        <v>34</v>
      </c>
      <c r="I15" s="44"/>
      <c r="J15" s="44"/>
      <c r="K15" s="44"/>
    </row>
    <row r="16" spans="2:19" x14ac:dyDescent="0.35">
      <c r="D16" s="10" t="s">
        <v>38</v>
      </c>
      <c r="E16" s="10"/>
      <c r="F16" s="10">
        <v>36.444000000000003</v>
      </c>
      <c r="G16" s="10">
        <v>36.07</v>
      </c>
      <c r="H16" s="10">
        <v>36.276000000000003</v>
      </c>
      <c r="I16" s="44"/>
      <c r="J16" s="44"/>
      <c r="K16" s="44"/>
    </row>
    <row r="17" spans="2:19" x14ac:dyDescent="0.35">
      <c r="D17" s="11" t="s">
        <v>39</v>
      </c>
      <c r="E17" s="11"/>
      <c r="F17" s="11">
        <v>0.53310000000000002</v>
      </c>
      <c r="G17" s="11">
        <v>0.77800000000000002</v>
      </c>
      <c r="H17" s="11">
        <v>0.56200000000000006</v>
      </c>
      <c r="I17" s="44"/>
      <c r="J17" s="44"/>
      <c r="K17" s="44"/>
    </row>
    <row r="18" spans="2:19" x14ac:dyDescent="0.35">
      <c r="D18" s="11" t="s">
        <v>40</v>
      </c>
      <c r="E18" s="11"/>
      <c r="F18" s="11">
        <v>28.872</v>
      </c>
      <c r="G18" s="11">
        <v>28.684000000000001</v>
      </c>
      <c r="H18" s="11">
        <v>28.8</v>
      </c>
      <c r="I18" s="44"/>
      <c r="J18" s="44"/>
      <c r="K18" s="44"/>
      <c r="O18" t="s">
        <v>41</v>
      </c>
    </row>
    <row r="19" spans="2:19" x14ac:dyDescent="0.35">
      <c r="D19" t="s">
        <v>42</v>
      </c>
      <c r="F19" s="12">
        <f>F18/(F16+F17)</f>
        <v>0.7808075809081837</v>
      </c>
      <c r="G19" s="12">
        <f t="shared" ref="G19:H19" si="1">G18/(G16+G17)</f>
        <v>0.77844116369952243</v>
      </c>
      <c r="H19" s="12">
        <f t="shared" si="1"/>
        <v>0.78180140072750959</v>
      </c>
      <c r="I19" s="46"/>
      <c r="J19" s="46"/>
      <c r="K19" s="46"/>
      <c r="L19" t="s">
        <v>43</v>
      </c>
      <c r="M19" s="13">
        <f>(F19+G19+H19)/3</f>
        <v>0.78035004844507194</v>
      </c>
      <c r="O19" s="39">
        <f>_xlfn.STDEV.S(F19,G19,H19)</f>
        <v>1.7262097749592446E-3</v>
      </c>
    </row>
    <row r="20" spans="2:19" x14ac:dyDescent="0.35">
      <c r="I20" s="44"/>
      <c r="J20" s="44"/>
      <c r="K20" s="44"/>
    </row>
    <row r="21" spans="2:19" x14ac:dyDescent="0.35">
      <c r="D21" s="10" t="s">
        <v>44</v>
      </c>
      <c r="E21" s="10"/>
      <c r="F21" s="10">
        <v>28.686</v>
      </c>
      <c r="G21" s="10">
        <v>28.437999999999999</v>
      </c>
      <c r="H21" s="10">
        <v>28.664000000000001</v>
      </c>
      <c r="I21" s="44"/>
      <c r="J21" s="44"/>
      <c r="K21" s="44"/>
    </row>
    <row r="22" spans="2:19" x14ac:dyDescent="0.35">
      <c r="D22" s="11" t="s">
        <v>45</v>
      </c>
      <c r="E22" s="11"/>
      <c r="F22" s="11">
        <v>0.42599999999999999</v>
      </c>
      <c r="G22" s="11">
        <v>0.51419999999999999</v>
      </c>
      <c r="H22" s="11">
        <v>0.42699999999999999</v>
      </c>
      <c r="I22" s="44"/>
      <c r="J22" s="44"/>
      <c r="K22" s="44"/>
    </row>
    <row r="23" spans="2:19" x14ac:dyDescent="0.35">
      <c r="D23" s="11" t="s">
        <v>46</v>
      </c>
      <c r="E23" s="11"/>
      <c r="F23" s="11">
        <v>28.542000000000002</v>
      </c>
      <c r="G23" s="11">
        <v>28.379000000000001</v>
      </c>
      <c r="H23" s="11">
        <v>28.529</v>
      </c>
      <c r="I23" s="44"/>
      <c r="J23" s="44"/>
      <c r="K23" s="44"/>
      <c r="O23" t="s">
        <v>41</v>
      </c>
    </row>
    <row r="24" spans="2:19" x14ac:dyDescent="0.35">
      <c r="D24" t="s">
        <v>42</v>
      </c>
      <c r="F24" s="12">
        <f>F23/(F21+F22)</f>
        <v>0.98042044517724658</v>
      </c>
      <c r="G24" s="12">
        <f t="shared" ref="G24:H24" si="2">G23/(G21+G22)</f>
        <v>0.98020184994577286</v>
      </c>
      <c r="H24" s="12">
        <f t="shared" si="2"/>
        <v>0.980681310370905</v>
      </c>
      <c r="I24" s="46"/>
      <c r="J24" s="46"/>
      <c r="K24" s="46"/>
      <c r="L24" t="s">
        <v>43</v>
      </c>
      <c r="M24" s="13">
        <f>(F24+G24+H24)/3</f>
        <v>0.98043453516464141</v>
      </c>
      <c r="O24" s="39">
        <f>_xlfn.STDEV.S(F24,G24,H24)</f>
        <v>2.4004056037587519E-4</v>
      </c>
    </row>
    <row r="25" spans="2:19" x14ac:dyDescent="0.35">
      <c r="I25" s="80"/>
      <c r="J25" s="80"/>
      <c r="K25" s="80"/>
    </row>
    <row r="27" spans="2:19" x14ac:dyDescent="0.35">
      <c r="B27" s="1" t="s">
        <v>70</v>
      </c>
      <c r="C27" s="1"/>
      <c r="D27" s="1"/>
      <c r="E27" s="1"/>
      <c r="F27" s="1"/>
      <c r="G27" s="1"/>
      <c r="H27" s="1"/>
      <c r="I27" s="1"/>
    </row>
    <row r="28" spans="2:19" x14ac:dyDescent="0.35">
      <c r="B28" s="2" t="s">
        <v>2</v>
      </c>
      <c r="C28" s="2" t="s">
        <v>3</v>
      </c>
      <c r="D28" s="2" t="s">
        <v>4</v>
      </c>
    </row>
    <row r="30" spans="2:19" x14ac:dyDescent="0.35">
      <c r="C30" s="2" t="s">
        <v>5</v>
      </c>
      <c r="D30" s="2"/>
      <c r="E30" s="2"/>
      <c r="F30" s="2"/>
      <c r="G30" s="2" t="s">
        <v>6</v>
      </c>
      <c r="H30" s="2" t="s">
        <v>6</v>
      </c>
    </row>
    <row r="32" spans="2:19" x14ac:dyDescent="0.35">
      <c r="B32" s="10" t="s">
        <v>71</v>
      </c>
      <c r="C32" s="10"/>
      <c r="D32" s="33" t="s">
        <v>8</v>
      </c>
      <c r="E32" s="34">
        <v>0.15870000000000001</v>
      </c>
      <c r="F32" s="35" t="s">
        <v>9</v>
      </c>
      <c r="G32" s="33" t="s">
        <v>10</v>
      </c>
      <c r="H32" s="34">
        <v>0.1993</v>
      </c>
      <c r="I32" s="35" t="s">
        <v>9</v>
      </c>
      <c r="J32" s="23" t="s">
        <v>11</v>
      </c>
      <c r="K32" s="24">
        <f>(H32*1000-'Material - Abmessungen'!E33)*'Material - Abmessungen'!E28*0.96</f>
        <v>30.288098080320001</v>
      </c>
      <c r="L32" s="25" t="s">
        <v>12</v>
      </c>
      <c r="M32" s="23" t="s">
        <v>13</v>
      </c>
      <c r="N32" s="26">
        <v>29.097999999999999</v>
      </c>
      <c r="O32" s="27" t="s">
        <v>12</v>
      </c>
      <c r="P32" s="17" t="s">
        <v>14</v>
      </c>
      <c r="Q32" s="18">
        <f>((E32*1000-'Material - Abmessungen'!E44-('Material - Abmessungen'!E49*1000))*'Material - Abmessungen'!E38*0.697)/K32</f>
        <v>3.5774647440054239</v>
      </c>
      <c r="R32" s="17" t="s">
        <v>15</v>
      </c>
      <c r="S32" s="19">
        <f>Q32^(-1)</f>
        <v>0.27952756254988936</v>
      </c>
    </row>
    <row r="33" spans="2:19" x14ac:dyDescent="0.35">
      <c r="B33" s="10" t="s">
        <v>72</v>
      </c>
      <c r="C33" s="15"/>
      <c r="D33" s="33" t="s">
        <v>17</v>
      </c>
      <c r="E33" s="37">
        <v>0.16020000000000001</v>
      </c>
      <c r="F33" s="38" t="s">
        <v>9</v>
      </c>
      <c r="G33" s="36" t="s">
        <v>18</v>
      </c>
      <c r="H33" s="37">
        <v>0.1996</v>
      </c>
      <c r="I33" s="38" t="s">
        <v>9</v>
      </c>
      <c r="J33" s="23" t="s">
        <v>11</v>
      </c>
      <c r="K33" s="29">
        <f>(H33*1000-'Material - Abmessungen'!E33)*'Material - Abmessungen'!E28*0.96</f>
        <v>30.342818080319997</v>
      </c>
      <c r="L33" s="30" t="s">
        <v>12</v>
      </c>
      <c r="M33" s="28" t="s">
        <v>13</v>
      </c>
      <c r="N33" s="31">
        <v>29.402999999999999</v>
      </c>
      <c r="O33" s="32" t="s">
        <v>12</v>
      </c>
      <c r="P33" s="20" t="s">
        <v>14</v>
      </c>
      <c r="Q33" s="21">
        <f>((E33*1000-'Material - Abmessungen'!E44-('Material - Abmessungen'!E49*1000))*'Material - Abmessungen'!E38*0.697)/K33</f>
        <v>3.6943321232917263</v>
      </c>
      <c r="R33" s="20" t="s">
        <v>15</v>
      </c>
      <c r="S33" s="22">
        <f t="shared" ref="S33" si="3">Q33^(-1)</f>
        <v>0.27068492128665989</v>
      </c>
    </row>
    <row r="35" spans="2:19" x14ac:dyDescent="0.35">
      <c r="D35" s="14" t="s">
        <v>31</v>
      </c>
      <c r="E35" s="14"/>
      <c r="F35" s="14"/>
      <c r="G35" s="14"/>
      <c r="H35" s="44"/>
      <c r="I35" s="45"/>
      <c r="J35" s="44"/>
      <c r="K35" s="44"/>
    </row>
    <row r="36" spans="2:19" x14ac:dyDescent="0.35">
      <c r="F36" t="s">
        <v>32</v>
      </c>
      <c r="G36" t="s">
        <v>33</v>
      </c>
      <c r="H36" s="44"/>
      <c r="I36" s="44"/>
      <c r="J36" s="44"/>
      <c r="K36" s="44"/>
    </row>
    <row r="37" spans="2:19" x14ac:dyDescent="0.35">
      <c r="D37" s="10" t="s">
        <v>38</v>
      </c>
      <c r="E37" s="10"/>
      <c r="F37" s="10">
        <v>32.823999999999998</v>
      </c>
      <c r="G37" s="10">
        <v>33.402000000000001</v>
      </c>
      <c r="H37" s="44"/>
      <c r="I37" s="44"/>
      <c r="J37" s="44"/>
      <c r="K37" s="44"/>
    </row>
    <row r="38" spans="2:19" x14ac:dyDescent="0.35">
      <c r="D38" s="11" t="s">
        <v>39</v>
      </c>
      <c r="E38" s="11"/>
      <c r="F38" s="11">
        <v>2.0680000000000001</v>
      </c>
      <c r="G38" s="11">
        <v>2.105</v>
      </c>
      <c r="H38" s="44"/>
      <c r="I38" s="44"/>
      <c r="J38" s="44"/>
      <c r="K38" s="44"/>
    </row>
    <row r="39" spans="2:19" x14ac:dyDescent="0.35">
      <c r="D39" s="11" t="s">
        <v>40</v>
      </c>
      <c r="E39" s="11"/>
      <c r="F39" s="11">
        <v>28.975999999999999</v>
      </c>
      <c r="G39" s="11">
        <v>29.4</v>
      </c>
      <c r="H39" s="44"/>
      <c r="I39" s="44"/>
      <c r="J39" s="44"/>
      <c r="K39" s="44"/>
      <c r="O39" t="s">
        <v>41</v>
      </c>
    </row>
    <row r="40" spans="2:19" x14ac:dyDescent="0.35">
      <c r="D40" t="s">
        <v>42</v>
      </c>
      <c r="F40" s="12">
        <f>F39/(F37+F38)</f>
        <v>0.83044824028430597</v>
      </c>
      <c r="G40" s="12">
        <f t="shared" ref="G40" si="4">G39/(G37+G38)</f>
        <v>0.82800574534598814</v>
      </c>
      <c r="H40" s="46"/>
      <c r="I40" s="46"/>
      <c r="J40" s="46"/>
      <c r="K40" s="46"/>
      <c r="L40" t="s">
        <v>43</v>
      </c>
      <c r="M40" s="13">
        <f>(F40+G40)/2</f>
        <v>0.829226992815147</v>
      </c>
      <c r="O40" s="39">
        <f>_xlfn.STDEV.S(F40,G40,H40)</f>
        <v>1.7271047338983554E-3</v>
      </c>
    </row>
    <row r="41" spans="2:19" x14ac:dyDescent="0.35">
      <c r="H41" s="44"/>
      <c r="I41" s="44"/>
      <c r="J41" s="44"/>
      <c r="K41" s="44"/>
    </row>
    <row r="42" spans="2:19" x14ac:dyDescent="0.35">
      <c r="D42" s="10" t="s">
        <v>44</v>
      </c>
      <c r="E42" s="10"/>
      <c r="F42" s="10">
        <v>28.763999999999999</v>
      </c>
      <c r="G42" s="10">
        <v>28.56</v>
      </c>
      <c r="H42" s="44"/>
      <c r="I42" s="44"/>
      <c r="J42" s="44"/>
      <c r="K42" s="44"/>
    </row>
    <row r="43" spans="2:19" x14ac:dyDescent="0.35">
      <c r="D43" s="11" t="s">
        <v>45</v>
      </c>
      <c r="E43" s="11"/>
      <c r="F43" s="11">
        <v>1.1919999999999999</v>
      </c>
      <c r="G43" s="11">
        <v>1.43</v>
      </c>
      <c r="H43" s="44"/>
      <c r="I43" s="44"/>
      <c r="J43" s="44"/>
      <c r="K43" s="44"/>
    </row>
    <row r="44" spans="2:19" x14ac:dyDescent="0.35">
      <c r="D44" s="11" t="s">
        <v>46</v>
      </c>
      <c r="E44" s="11"/>
      <c r="F44" s="11">
        <v>29.097999999999999</v>
      </c>
      <c r="G44" s="11">
        <v>29.402999999999999</v>
      </c>
      <c r="H44" s="44"/>
      <c r="I44" s="44"/>
      <c r="J44" s="44"/>
      <c r="K44" s="44"/>
      <c r="O44" t="s">
        <v>41</v>
      </c>
    </row>
    <row r="45" spans="2:19" x14ac:dyDescent="0.35">
      <c r="D45" t="s">
        <v>42</v>
      </c>
      <c r="F45" s="12">
        <f>F44/(F42+F43)</f>
        <v>0.97135799172119108</v>
      </c>
      <c r="G45" s="12">
        <f t="shared" ref="G45" si="5">G44/(G42+G43)</f>
        <v>0.98042680893631207</v>
      </c>
      <c r="H45" s="46"/>
      <c r="I45" s="46"/>
      <c r="J45" s="46"/>
      <c r="K45" s="46"/>
      <c r="L45" t="s">
        <v>43</v>
      </c>
      <c r="M45" s="13">
        <f>(F45+G45)/2</f>
        <v>0.97589240032875157</v>
      </c>
      <c r="O45" s="39">
        <f>_xlfn.STDEV.S(F45,G45,H45)</f>
        <v>6.4126221501533487E-3</v>
      </c>
    </row>
    <row r="47" spans="2:19" x14ac:dyDescent="0.35">
      <c r="B47" s="1" t="s">
        <v>73</v>
      </c>
      <c r="C47" s="1"/>
      <c r="D47" s="1"/>
      <c r="E47" s="1"/>
      <c r="F47" s="1"/>
      <c r="G47" s="1"/>
      <c r="H47" s="1"/>
      <c r="I47" s="1"/>
    </row>
    <row r="48" spans="2:19" x14ac:dyDescent="0.35">
      <c r="B48" s="2" t="s">
        <v>2</v>
      </c>
      <c r="C48" s="2" t="s">
        <v>3</v>
      </c>
      <c r="D48" s="2" t="s">
        <v>4</v>
      </c>
    </row>
    <row r="50" spans="2:19" x14ac:dyDescent="0.35">
      <c r="C50" s="2" t="s">
        <v>5</v>
      </c>
      <c r="D50" s="2"/>
      <c r="E50" s="2"/>
      <c r="F50" s="2"/>
      <c r="G50" s="2" t="s">
        <v>6</v>
      </c>
      <c r="H50" s="2" t="s">
        <v>6</v>
      </c>
    </row>
    <row r="52" spans="2:19" x14ac:dyDescent="0.35">
      <c r="B52" s="10" t="s">
        <v>74</v>
      </c>
      <c r="C52" s="10"/>
      <c r="D52" s="33" t="s">
        <v>8</v>
      </c>
      <c r="E52" s="34">
        <v>0.1585</v>
      </c>
      <c r="F52" s="35" t="s">
        <v>9</v>
      </c>
      <c r="G52" s="33" t="s">
        <v>10</v>
      </c>
      <c r="H52" s="34">
        <v>0.19700000000000001</v>
      </c>
      <c r="I52" s="35" t="s">
        <v>9</v>
      </c>
      <c r="J52" s="23" t="s">
        <v>11</v>
      </c>
      <c r="K52" s="24">
        <f>(H52*1000-'Material - Abmessungen'!E33)*'Material - Abmessungen'!E28*0.96</f>
        <v>29.868578080319999</v>
      </c>
      <c r="L52" s="25" t="s">
        <v>12</v>
      </c>
      <c r="M52" s="23" t="s">
        <v>13</v>
      </c>
      <c r="N52" s="26">
        <v>32.116999999999997</v>
      </c>
      <c r="O52" s="27" t="s">
        <v>12</v>
      </c>
      <c r="P52" s="17" t="s">
        <v>14</v>
      </c>
      <c r="Q52" s="18">
        <f>((E52*1000-'Material - Abmessungen'!E44-('Material - Abmessungen'!E49*1000))*'Material - Abmessungen'!E38*0.697)/K52</f>
        <v>3.6110085373092389</v>
      </c>
      <c r="R52" s="17" t="s">
        <v>15</v>
      </c>
      <c r="S52" s="19">
        <f>Q52^(-1)</f>
        <v>0.27693094316114664</v>
      </c>
    </row>
    <row r="53" spans="2:19" x14ac:dyDescent="0.35">
      <c r="B53" s="10" t="s">
        <v>75</v>
      </c>
      <c r="C53" s="15"/>
      <c r="D53" s="33" t="s">
        <v>17</v>
      </c>
      <c r="E53" s="37">
        <v>0.1641</v>
      </c>
      <c r="F53" s="38" t="s">
        <v>9</v>
      </c>
      <c r="G53" s="36" t="s">
        <v>18</v>
      </c>
      <c r="H53" s="37">
        <v>0.1993</v>
      </c>
      <c r="I53" s="38" t="s">
        <v>9</v>
      </c>
      <c r="J53" s="28" t="s">
        <v>11</v>
      </c>
      <c r="K53" s="29">
        <f>(H53*1000-'Material - Abmessungen'!E33)*'Material - Abmessungen'!E28*0.96</f>
        <v>30.288098080320001</v>
      </c>
      <c r="L53" s="30" t="s">
        <v>12</v>
      </c>
      <c r="M53" s="28" t="s">
        <v>13</v>
      </c>
      <c r="N53" s="31">
        <v>32.406999999999996</v>
      </c>
      <c r="O53" s="32" t="s">
        <v>12</v>
      </c>
      <c r="P53" s="20" t="s">
        <v>14</v>
      </c>
      <c r="Q53" s="21">
        <f>((E53*1000-'Material - Abmessungen'!E44-('Material - Abmessungen'!E49*1000))*'Material - Abmessungen'!E38*0.697)/K53</f>
        <v>4.0222150272446555</v>
      </c>
      <c r="R53" s="20" t="s">
        <v>15</v>
      </c>
      <c r="S53" s="22">
        <f t="shared" ref="S53" si="6">Q53^(-1)</f>
        <v>0.24861922926209931</v>
      </c>
    </row>
    <row r="55" spans="2:19" x14ac:dyDescent="0.35">
      <c r="D55" s="14" t="s">
        <v>31</v>
      </c>
      <c r="E55" s="14"/>
      <c r="F55" s="14"/>
      <c r="G55" s="14"/>
      <c r="H55" s="44"/>
      <c r="I55" s="45"/>
      <c r="J55" s="44"/>
      <c r="K55" s="44"/>
    </row>
    <row r="56" spans="2:19" x14ac:dyDescent="0.35">
      <c r="F56" t="s">
        <v>32</v>
      </c>
      <c r="G56" t="s">
        <v>33</v>
      </c>
      <c r="H56" s="44"/>
      <c r="I56" s="44"/>
      <c r="J56" s="44"/>
      <c r="K56" s="44"/>
    </row>
    <row r="57" spans="2:19" x14ac:dyDescent="0.35">
      <c r="D57" s="10" t="s">
        <v>38</v>
      </c>
      <c r="E57" s="10"/>
      <c r="F57" s="10">
        <v>35.923999999999999</v>
      </c>
      <c r="G57" s="10">
        <v>36.44</v>
      </c>
      <c r="H57" s="44"/>
      <c r="I57" s="44"/>
      <c r="J57" s="44"/>
      <c r="K57" s="44"/>
    </row>
    <row r="58" spans="2:19" x14ac:dyDescent="0.35">
      <c r="D58" s="11" t="s">
        <v>39</v>
      </c>
      <c r="E58" s="11"/>
      <c r="F58" s="11">
        <v>0.375</v>
      </c>
      <c r="G58" s="11">
        <v>0.39500000000000002</v>
      </c>
      <c r="H58" s="44"/>
      <c r="I58" s="44"/>
      <c r="J58" s="44"/>
      <c r="K58" s="44"/>
    </row>
    <row r="59" spans="2:19" x14ac:dyDescent="0.35">
      <c r="D59" s="11" t="s">
        <v>40</v>
      </c>
      <c r="E59" s="11"/>
      <c r="F59" s="11">
        <v>32.244</v>
      </c>
      <c r="G59" s="11">
        <v>32.588999999999999</v>
      </c>
      <c r="H59" s="44"/>
      <c r="I59" s="44"/>
      <c r="J59" s="44"/>
      <c r="K59" s="44"/>
      <c r="O59" t="s">
        <v>41</v>
      </c>
    </row>
    <row r="60" spans="2:19" x14ac:dyDescent="0.35">
      <c r="D60" t="s">
        <v>42</v>
      </c>
      <c r="F60" s="12">
        <f>F59/(F57+F58)</f>
        <v>0.8882889335794375</v>
      </c>
      <c r="G60" s="12">
        <f t="shared" ref="G60" si="7">G59/(G57+G58)</f>
        <v>0.88472919777385628</v>
      </c>
      <c r="H60" s="46"/>
      <c r="I60" s="46"/>
      <c r="J60" s="46"/>
      <c r="K60" s="46"/>
      <c r="L60" t="s">
        <v>43</v>
      </c>
      <c r="M60" s="13">
        <f>(F60+G60)/2</f>
        <v>0.88650906567664689</v>
      </c>
      <c r="O60" s="39">
        <f>_xlfn.STDEV.S(F60,G60,H60)</f>
        <v>2.5171133273590393E-3</v>
      </c>
    </row>
    <row r="61" spans="2:19" x14ac:dyDescent="0.35">
      <c r="H61" s="44"/>
      <c r="I61" s="44"/>
      <c r="J61" s="44"/>
      <c r="K61" s="44"/>
    </row>
    <row r="62" spans="2:19" x14ac:dyDescent="0.35">
      <c r="D62" s="10" t="s">
        <v>44</v>
      </c>
      <c r="E62" s="10"/>
      <c r="F62" s="10">
        <v>32.048000000000002</v>
      </c>
      <c r="G62" s="10">
        <v>32.399000000000001</v>
      </c>
      <c r="H62" s="44"/>
      <c r="I62" s="44"/>
      <c r="J62" s="44"/>
      <c r="K62" s="44"/>
    </row>
    <row r="63" spans="2:19" x14ac:dyDescent="0.35">
      <c r="D63" s="11" t="s">
        <v>45</v>
      </c>
      <c r="E63" s="11"/>
      <c r="F63" s="11">
        <v>0.33200000000000002</v>
      </c>
      <c r="G63" s="11">
        <v>0.32600000000000001</v>
      </c>
      <c r="H63" s="44"/>
      <c r="I63" s="44"/>
      <c r="J63" s="44"/>
      <c r="K63" s="44"/>
    </row>
    <row r="64" spans="2:19" x14ac:dyDescent="0.35">
      <c r="D64" s="11" t="s">
        <v>46</v>
      </c>
      <c r="E64" s="11"/>
      <c r="F64" s="11">
        <v>32.116999999999997</v>
      </c>
      <c r="G64" s="11">
        <v>32.406999999999996</v>
      </c>
      <c r="H64" s="44"/>
      <c r="I64" s="44"/>
      <c r="J64" s="44"/>
      <c r="K64" s="44"/>
      <c r="O64" t="s">
        <v>41</v>
      </c>
    </row>
    <row r="65" spans="2:19" x14ac:dyDescent="0.35">
      <c r="D65" t="s">
        <v>42</v>
      </c>
      <c r="F65" s="12">
        <f>F64/(F62+F63)</f>
        <v>0.99187770228536121</v>
      </c>
      <c r="G65" s="12">
        <f t="shared" ref="G65" si="8">G64/(G62+G63)</f>
        <v>0.9902826585179525</v>
      </c>
      <c r="H65" s="47"/>
      <c r="I65" s="46"/>
      <c r="J65" s="46"/>
      <c r="K65" s="46"/>
      <c r="L65" t="s">
        <v>43</v>
      </c>
      <c r="M65" s="13">
        <f>(F65+G65)/2</f>
        <v>0.99108018040165691</v>
      </c>
      <c r="O65" s="39">
        <f>_xlfn.STDEV.S(F65,G65,H65)</f>
        <v>1.1278662642240373E-3</v>
      </c>
    </row>
    <row r="66" spans="2:19" x14ac:dyDescent="0.35">
      <c r="F66" s="46"/>
      <c r="G66" s="46"/>
      <c r="H66" s="46"/>
      <c r="I66" s="46"/>
      <c r="J66" s="46"/>
      <c r="K66" s="46"/>
      <c r="L66" s="44"/>
      <c r="M66" s="46"/>
      <c r="N66" s="44"/>
      <c r="O66" s="48"/>
    </row>
    <row r="67" spans="2:19" x14ac:dyDescent="0.35">
      <c r="B67" s="1" t="s">
        <v>76</v>
      </c>
      <c r="C67" s="1"/>
      <c r="D67" s="1"/>
      <c r="E67" s="1"/>
      <c r="F67" s="1"/>
      <c r="G67" s="1"/>
      <c r="H67" s="1"/>
      <c r="I67" s="1"/>
    </row>
    <row r="68" spans="2:19" x14ac:dyDescent="0.35">
      <c r="B68" s="2" t="s">
        <v>2</v>
      </c>
      <c r="C68" s="2" t="s">
        <v>3</v>
      </c>
      <c r="D68" s="2" t="s">
        <v>4</v>
      </c>
    </row>
    <row r="70" spans="2:19" x14ac:dyDescent="0.35">
      <c r="C70" s="2" t="s">
        <v>5</v>
      </c>
      <c r="D70" s="2"/>
      <c r="E70" s="2"/>
      <c r="F70" s="2"/>
      <c r="G70" s="2" t="s">
        <v>6</v>
      </c>
      <c r="H70" s="2" t="s">
        <v>6</v>
      </c>
    </row>
    <row r="72" spans="2:19" x14ac:dyDescent="0.35">
      <c r="B72" s="10" t="s">
        <v>77</v>
      </c>
      <c r="C72" s="10"/>
      <c r="D72" s="33" t="s">
        <v>8</v>
      </c>
      <c r="E72" s="34">
        <v>0.15970000000000001</v>
      </c>
      <c r="F72" s="35" t="s">
        <v>9</v>
      </c>
      <c r="G72" s="33" t="s">
        <v>10</v>
      </c>
      <c r="H72" s="34">
        <v>0.19850000000000001</v>
      </c>
      <c r="I72" s="35" t="s">
        <v>9</v>
      </c>
      <c r="J72" s="23" t="s">
        <v>11</v>
      </c>
      <c r="K72" s="24">
        <f>(H72*1000-'Material - Abmessungen'!E33)*'Material - Abmessungen'!E28*0.96</f>
        <v>30.142178080320001</v>
      </c>
      <c r="L72" s="25" t="s">
        <v>12</v>
      </c>
      <c r="M72" s="23" t="s">
        <v>13</v>
      </c>
      <c r="N72" s="26">
        <v>32.371000000000002</v>
      </c>
      <c r="O72" s="27" t="s">
        <v>12</v>
      </c>
      <c r="P72" s="17" t="s">
        <v>14</v>
      </c>
      <c r="Q72" s="18">
        <f>((E72*1000-'Material - Abmessungen'!E44-('Material - Abmessungen'!E49*1000))*'Material - Abmessungen'!E38*0.697)/K72</f>
        <v>3.6775433331308331</v>
      </c>
      <c r="R72" s="17" t="s">
        <v>15</v>
      </c>
      <c r="S72" s="19">
        <f>Q72^(-1)</f>
        <v>0.27192065719281733</v>
      </c>
    </row>
    <row r="73" spans="2:19" x14ac:dyDescent="0.35">
      <c r="B73" s="10" t="s">
        <v>78</v>
      </c>
      <c r="C73" s="15"/>
      <c r="D73" s="33" t="s">
        <v>17</v>
      </c>
      <c r="E73" s="37">
        <v>0.15809999999999999</v>
      </c>
      <c r="F73" s="38" t="s">
        <v>9</v>
      </c>
      <c r="G73" s="36" t="s">
        <v>18</v>
      </c>
      <c r="H73" s="37">
        <v>0.1971</v>
      </c>
      <c r="I73" s="38" t="s">
        <v>9</v>
      </c>
      <c r="J73" s="28" t="s">
        <v>11</v>
      </c>
      <c r="K73" s="29">
        <f>(H73*1000-'Material - Abmessungen'!E33)*'Material - Abmessungen'!E28*0.96</f>
        <v>29.886818080319998</v>
      </c>
      <c r="L73" s="30" t="s">
        <v>12</v>
      </c>
      <c r="M73" s="28" t="s">
        <v>13</v>
      </c>
      <c r="N73" s="31">
        <v>31.899000000000001</v>
      </c>
      <c r="O73" s="32" t="s">
        <v>12</v>
      </c>
      <c r="P73" s="20" t="s">
        <v>14</v>
      </c>
      <c r="Q73" s="21">
        <f>((E73*1000-'Material - Abmessungen'!E44-('Material - Abmessungen'!E49*1000))*'Material - Abmessungen'!E38*0.697)/K73</f>
        <v>3.5754179303445932</v>
      </c>
      <c r="R73" s="20" t="s">
        <v>15</v>
      </c>
      <c r="S73" s="22">
        <f t="shared" ref="S73" si="9">Q73^(-1)</f>
        <v>0.27968758323691173</v>
      </c>
    </row>
    <row r="75" spans="2:19" x14ac:dyDescent="0.35">
      <c r="D75" s="14" t="s">
        <v>31</v>
      </c>
      <c r="E75" s="14"/>
      <c r="F75" s="14"/>
      <c r="G75" s="14"/>
      <c r="H75" s="44"/>
      <c r="I75" s="44"/>
      <c r="J75" s="44"/>
      <c r="K75" s="44"/>
    </row>
    <row r="76" spans="2:19" x14ac:dyDescent="0.35">
      <c r="F76" t="s">
        <v>32</v>
      </c>
      <c r="G76" t="s">
        <v>33</v>
      </c>
      <c r="H76" s="44"/>
      <c r="I76" s="44"/>
      <c r="J76" s="44"/>
      <c r="K76" s="44"/>
    </row>
    <row r="77" spans="2:19" x14ac:dyDescent="0.35">
      <c r="D77" s="10" t="s">
        <v>38</v>
      </c>
      <c r="E77" s="10"/>
      <c r="F77" s="10">
        <v>36.238</v>
      </c>
      <c r="G77" s="10">
        <v>35.912999999999997</v>
      </c>
      <c r="H77" s="44"/>
      <c r="I77" s="44"/>
      <c r="J77" s="44"/>
      <c r="K77" s="44"/>
    </row>
    <row r="78" spans="2:19" x14ac:dyDescent="0.35">
      <c r="D78" s="11" t="s">
        <v>39</v>
      </c>
      <c r="E78" s="11"/>
      <c r="F78" s="11">
        <v>0.378</v>
      </c>
      <c r="G78" s="11">
        <v>0.38</v>
      </c>
      <c r="H78" s="44"/>
      <c r="I78" s="44"/>
      <c r="J78" s="44"/>
      <c r="K78" s="44"/>
    </row>
    <row r="79" spans="2:19" x14ac:dyDescent="0.35">
      <c r="D79" s="11" t="s">
        <v>40</v>
      </c>
      <c r="E79" s="11"/>
      <c r="F79" s="11">
        <v>32.481000000000002</v>
      </c>
      <c r="G79" s="11">
        <v>32.039000000000001</v>
      </c>
      <c r="H79" s="44"/>
      <c r="I79" s="44"/>
      <c r="J79" s="44"/>
      <c r="K79" s="44"/>
      <c r="O79" t="s">
        <v>41</v>
      </c>
    </row>
    <row r="80" spans="2:19" x14ac:dyDescent="0.35">
      <c r="D80" t="s">
        <v>42</v>
      </c>
      <c r="F80" s="12">
        <f>F79/(F77+F78)</f>
        <v>0.88707122569368591</v>
      </c>
      <c r="G80" s="12">
        <f t="shared" ref="G80" si="10">G79/(G77+G78)</f>
        <v>0.88278731435814073</v>
      </c>
      <c r="H80" s="46"/>
      <c r="I80" s="46"/>
      <c r="J80" s="46"/>
      <c r="K80" s="46"/>
      <c r="L80" t="s">
        <v>43</v>
      </c>
      <c r="M80" s="13">
        <f>(F80+G80)/2</f>
        <v>0.88492927002591326</v>
      </c>
      <c r="O80" s="39">
        <f>_xlfn.STDEV.S(F80,G80,H80)</f>
        <v>3.0291827553659135E-3</v>
      </c>
    </row>
    <row r="81" spans="2:19" x14ac:dyDescent="0.35">
      <c r="H81" s="44"/>
      <c r="I81" s="44"/>
      <c r="J81" s="44"/>
      <c r="K81" s="44"/>
    </row>
    <row r="82" spans="2:19" x14ac:dyDescent="0.35">
      <c r="D82" s="10" t="s">
        <v>44</v>
      </c>
      <c r="E82" s="10"/>
      <c r="F82" s="10">
        <v>32.33</v>
      </c>
      <c r="G82" s="10">
        <v>31.856000000000002</v>
      </c>
      <c r="H82" s="44"/>
      <c r="I82" s="44"/>
      <c r="J82" s="44"/>
      <c r="K82" s="44"/>
    </row>
    <row r="83" spans="2:19" x14ac:dyDescent="0.35">
      <c r="D83" s="11" t="s">
        <v>45</v>
      </c>
      <c r="E83" s="11"/>
      <c r="F83" s="11">
        <v>0.312</v>
      </c>
      <c r="G83" s="11">
        <v>0.32400000000000001</v>
      </c>
      <c r="H83" s="44"/>
      <c r="I83" s="44"/>
      <c r="J83" s="44"/>
      <c r="K83" s="44"/>
    </row>
    <row r="84" spans="2:19" x14ac:dyDescent="0.35">
      <c r="D84" s="11" t="s">
        <v>46</v>
      </c>
      <c r="E84" s="11"/>
      <c r="F84" s="11">
        <v>32.371000000000002</v>
      </c>
      <c r="G84" s="11">
        <v>31.898</v>
      </c>
      <c r="H84" s="44"/>
      <c r="I84" s="44"/>
      <c r="J84" s="44"/>
      <c r="K84" s="44"/>
      <c r="O84" t="s">
        <v>41</v>
      </c>
    </row>
    <row r="85" spans="2:19" x14ac:dyDescent="0.35">
      <c r="D85" t="s">
        <v>42</v>
      </c>
      <c r="F85" s="12">
        <f>F84/(F82+F83)</f>
        <v>0.99169781263403001</v>
      </c>
      <c r="G85" s="12">
        <f t="shared" ref="G85" si="11">G84/(G82+G83)</f>
        <v>0.9912367930391548</v>
      </c>
      <c r="H85" s="46"/>
      <c r="I85" s="46"/>
      <c r="J85" s="46"/>
      <c r="K85" s="46"/>
      <c r="L85" t="s">
        <v>43</v>
      </c>
      <c r="M85" s="13">
        <f>(F85+G85)/2</f>
        <v>0.99146730283659235</v>
      </c>
      <c r="O85" s="39">
        <f>_xlfn.STDEV.S(F85,G85,H85)</f>
        <v>3.2599008179613704E-4</v>
      </c>
    </row>
    <row r="87" spans="2:19" x14ac:dyDescent="0.35">
      <c r="B87" s="1" t="s">
        <v>79</v>
      </c>
      <c r="C87" s="1"/>
      <c r="D87" s="1"/>
      <c r="E87" s="1"/>
      <c r="F87" s="1"/>
      <c r="G87" s="1"/>
      <c r="H87" s="1"/>
      <c r="I87" s="1"/>
    </row>
    <row r="88" spans="2:19" x14ac:dyDescent="0.35">
      <c r="B88" s="2" t="s">
        <v>2</v>
      </c>
      <c r="C88" s="2" t="s">
        <v>3</v>
      </c>
      <c r="D88" s="2" t="s">
        <v>4</v>
      </c>
    </row>
    <row r="90" spans="2:19" x14ac:dyDescent="0.35">
      <c r="C90" s="2" t="s">
        <v>5</v>
      </c>
      <c r="D90" s="2"/>
      <c r="E90" s="2"/>
      <c r="F90" s="2"/>
      <c r="G90" s="2" t="s">
        <v>6</v>
      </c>
      <c r="H90" s="2" t="s">
        <v>6</v>
      </c>
    </row>
    <row r="92" spans="2:19" x14ac:dyDescent="0.35">
      <c r="B92" s="10" t="s">
        <v>80</v>
      </c>
      <c r="C92" s="10"/>
      <c r="D92" s="33" t="s">
        <v>8</v>
      </c>
      <c r="E92" s="34">
        <v>0.1598</v>
      </c>
      <c r="F92" s="35" t="s">
        <v>9</v>
      </c>
      <c r="G92" s="33" t="s">
        <v>10</v>
      </c>
      <c r="H92" s="34">
        <v>0.1986</v>
      </c>
      <c r="I92" s="35" t="s">
        <v>9</v>
      </c>
      <c r="J92" s="23" t="s">
        <v>11</v>
      </c>
      <c r="K92" s="24">
        <f>(H92*1000-'Material - Abmessungen'!E33)*'Material - Abmessungen'!E28*0.96</f>
        <v>30.160418080319999</v>
      </c>
      <c r="L92" s="25" t="s">
        <v>12</v>
      </c>
      <c r="M92" s="23" t="s">
        <v>13</v>
      </c>
      <c r="N92" s="26">
        <v>31.423999999999999</v>
      </c>
      <c r="O92" s="27" t="s">
        <v>12</v>
      </c>
      <c r="P92" s="17" t="s">
        <v>14</v>
      </c>
      <c r="Q92" s="18">
        <f>((E92*1000-'Material - Abmessungen'!E44-('Material - Abmessungen'!E49*1000))*'Material - Abmessungen'!E38*0.697)/K92</f>
        <v>3.6835902622257146</v>
      </c>
      <c r="R92" s="17" t="s">
        <v>15</v>
      </c>
      <c r="S92" s="19">
        <f>Q92^(-1)</f>
        <v>0.27147427613074854</v>
      </c>
    </row>
    <row r="93" spans="2:19" x14ac:dyDescent="0.35">
      <c r="B93" s="10" t="s">
        <v>81</v>
      </c>
      <c r="C93" s="15"/>
      <c r="D93" s="33" t="s">
        <v>17</v>
      </c>
      <c r="E93" s="37">
        <v>0.1646</v>
      </c>
      <c r="F93" s="38" t="s">
        <v>9</v>
      </c>
      <c r="G93" s="36" t="s">
        <v>18</v>
      </c>
      <c r="H93" s="76">
        <v>0.19939999999999999</v>
      </c>
      <c r="I93" s="77" t="s">
        <v>9</v>
      </c>
      <c r="J93" s="78" t="s">
        <v>11</v>
      </c>
      <c r="K93" s="79">
        <f>(H93*1000-'Material - Abmessungen'!E33)*'Material - Abmessungen'!E28*0.96</f>
        <v>30.30633808032</v>
      </c>
      <c r="L93" s="30" t="s">
        <v>12</v>
      </c>
      <c r="M93" s="28" t="s">
        <v>13</v>
      </c>
      <c r="N93" s="31">
        <v>32.505000000000003</v>
      </c>
      <c r="O93" s="32" t="s">
        <v>12</v>
      </c>
      <c r="P93" s="20" t="s">
        <v>14</v>
      </c>
      <c r="Q93" s="21">
        <f>((E93*1000-'Material - Abmessungen'!E44-('Material - Abmessungen'!E49*1000))*'Material - Abmessungen'!E38*0.697)/K93</f>
        <v>4.0609500368915441</v>
      </c>
      <c r="R93" s="20" t="s">
        <v>15</v>
      </c>
      <c r="S93" s="22">
        <f t="shared" ref="S93" si="12">Q93^(-1)</f>
        <v>0.24624779692326637</v>
      </c>
    </row>
    <row r="94" spans="2:19" x14ac:dyDescent="0.35">
      <c r="H94" s="80"/>
      <c r="I94" s="80"/>
      <c r="J94" s="80"/>
      <c r="K94" s="80"/>
    </row>
    <row r="95" spans="2:19" x14ac:dyDescent="0.35">
      <c r="D95" s="14" t="s">
        <v>31</v>
      </c>
      <c r="E95" s="14"/>
      <c r="F95" s="14"/>
      <c r="G95" s="14"/>
      <c r="H95" s="44"/>
      <c r="I95" s="44"/>
      <c r="J95" s="44"/>
      <c r="K95" s="44"/>
    </row>
    <row r="96" spans="2:19" x14ac:dyDescent="0.35">
      <c r="F96" t="s">
        <v>32</v>
      </c>
      <c r="G96" t="s">
        <v>33</v>
      </c>
      <c r="H96" s="44"/>
      <c r="I96" s="44"/>
      <c r="J96" s="44"/>
      <c r="K96" s="44"/>
    </row>
    <row r="97" spans="4:15" x14ac:dyDescent="0.35">
      <c r="D97" s="10" t="s">
        <v>38</v>
      </c>
      <c r="E97" s="10"/>
      <c r="F97" s="10">
        <v>35.414999999999999</v>
      </c>
      <c r="G97" s="10">
        <v>36.529000000000003</v>
      </c>
      <c r="H97" s="44"/>
      <c r="I97" s="44"/>
      <c r="J97" s="44"/>
      <c r="K97" s="44"/>
    </row>
    <row r="98" spans="4:15" x14ac:dyDescent="0.35">
      <c r="D98" s="11" t="s">
        <v>39</v>
      </c>
      <c r="E98" s="11"/>
      <c r="F98" s="11">
        <v>0.73699999999999999</v>
      </c>
      <c r="G98" s="11">
        <v>0.38500000000000001</v>
      </c>
      <c r="H98" s="44"/>
      <c r="I98" s="44"/>
      <c r="J98" s="44"/>
      <c r="K98" s="44"/>
    </row>
    <row r="99" spans="4:15" x14ac:dyDescent="0.35">
      <c r="D99" s="11" t="s">
        <v>40</v>
      </c>
      <c r="E99" s="11"/>
      <c r="F99" s="11">
        <v>31.478999999999999</v>
      </c>
      <c r="G99" s="11">
        <v>32.652000000000001</v>
      </c>
      <c r="H99" s="44"/>
      <c r="I99" s="44"/>
      <c r="J99" s="44"/>
      <c r="K99" s="44"/>
      <c r="O99" t="s">
        <v>41</v>
      </c>
    </row>
    <row r="100" spans="4:15" x14ac:dyDescent="0.35">
      <c r="D100" t="s">
        <v>42</v>
      </c>
      <c r="F100" s="12">
        <f>F99/(F97+F98)</f>
        <v>0.8707402080106218</v>
      </c>
      <c r="G100" s="12">
        <f t="shared" ref="G100" si="13">G99/(G97+G98)</f>
        <v>0.88454245001896303</v>
      </c>
      <c r="H100" s="46"/>
      <c r="I100" s="46"/>
      <c r="J100" s="46"/>
      <c r="K100" s="46"/>
      <c r="L100" t="s">
        <v>43</v>
      </c>
      <c r="M100" s="13">
        <f>(F100+G100)/2</f>
        <v>0.87764132901479242</v>
      </c>
      <c r="O100" s="39">
        <f>_xlfn.STDEV.S(F100,G100,H100)</f>
        <v>9.7596589196759214E-3</v>
      </c>
    </row>
    <row r="101" spans="4:15" x14ac:dyDescent="0.35">
      <c r="H101" s="44"/>
      <c r="I101" s="44"/>
      <c r="J101" s="44"/>
      <c r="K101" s="44"/>
    </row>
    <row r="102" spans="4:15" x14ac:dyDescent="0.35">
      <c r="D102" s="10" t="s">
        <v>44</v>
      </c>
      <c r="E102" s="10"/>
      <c r="F102" s="10">
        <v>31.158000000000001</v>
      </c>
      <c r="G102" s="10">
        <v>32.487000000000002</v>
      </c>
      <c r="H102" s="44"/>
      <c r="I102" s="44"/>
      <c r="J102" s="44"/>
      <c r="K102" s="44"/>
    </row>
    <row r="103" spans="4:15" x14ac:dyDescent="0.35">
      <c r="D103" s="11" t="s">
        <v>45</v>
      </c>
      <c r="E103" s="11"/>
      <c r="F103" s="11">
        <v>0.67800000000000005</v>
      </c>
      <c r="G103" s="11">
        <v>0.31</v>
      </c>
      <c r="H103" s="44"/>
      <c r="I103" s="44"/>
      <c r="J103" s="44"/>
      <c r="K103" s="44"/>
    </row>
    <row r="104" spans="4:15" x14ac:dyDescent="0.35">
      <c r="D104" s="11" t="s">
        <v>46</v>
      </c>
      <c r="E104" s="11"/>
      <c r="F104" s="11">
        <v>31.423999999999999</v>
      </c>
      <c r="G104" s="11">
        <v>32.505000000000003</v>
      </c>
      <c r="H104" s="44"/>
      <c r="I104" s="44"/>
      <c r="J104" s="44"/>
      <c r="K104" s="44"/>
      <c r="O104" t="s">
        <v>41</v>
      </c>
    </row>
    <row r="105" spans="4:15" x14ac:dyDescent="0.35">
      <c r="D105" t="s">
        <v>42</v>
      </c>
      <c r="F105" s="12">
        <f>F104/(F102+F103)</f>
        <v>0.98705867571302919</v>
      </c>
      <c r="G105" s="12">
        <f t="shared" ref="G105" si="14">G104/(G102+G103)</f>
        <v>0.99109674665365732</v>
      </c>
      <c r="H105" s="46"/>
      <c r="I105" s="46"/>
      <c r="J105" s="46"/>
      <c r="K105" s="46"/>
      <c r="L105" t="s">
        <v>43</v>
      </c>
      <c r="M105" s="13">
        <f>(F105+G105)/2</f>
        <v>0.98907771118334331</v>
      </c>
      <c r="O105" s="39">
        <f>_xlfn.STDEV.S(F105,G105,H105)</f>
        <v>2.8553473450304953E-3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71"/>
  <sheetViews>
    <sheetView workbookViewId="0"/>
  </sheetViews>
  <sheetFormatPr baseColWidth="10" defaultRowHeight="14.5" x14ac:dyDescent="0.35"/>
  <cols>
    <col min="2" max="2" width="38.08984375" customWidth="1"/>
    <col min="3" max="3" width="13.54296875" customWidth="1"/>
    <col min="4" max="4" width="15" customWidth="1"/>
    <col min="5" max="5" width="13.1796875" customWidth="1"/>
    <col min="7" max="7" width="29.453125" customWidth="1"/>
    <col min="8" max="8" width="13" customWidth="1"/>
    <col min="10" max="10" width="24.81640625" customWidth="1"/>
    <col min="12" max="12" width="21.6328125" customWidth="1"/>
    <col min="13" max="13" width="27.54296875" customWidth="1"/>
    <col min="16" max="16" width="17.1796875" customWidth="1"/>
    <col min="18" max="18" width="23.6328125" customWidth="1"/>
  </cols>
  <sheetData>
    <row r="2" spans="2:19" x14ac:dyDescent="0.35">
      <c r="B2" s="1" t="s">
        <v>82</v>
      </c>
      <c r="C2" s="75"/>
      <c r="D2" s="75"/>
      <c r="E2" s="75"/>
      <c r="F2" s="75"/>
      <c r="G2" s="75"/>
      <c r="H2" s="75"/>
    </row>
    <row r="5" spans="2:19" x14ac:dyDescent="0.35">
      <c r="B5" s="1" t="s">
        <v>83</v>
      </c>
      <c r="C5" s="1"/>
      <c r="D5" s="1"/>
      <c r="E5" s="1"/>
      <c r="F5" s="1"/>
      <c r="G5" s="1"/>
      <c r="H5" s="1"/>
      <c r="I5" s="1"/>
    </row>
    <row r="6" spans="2:19" x14ac:dyDescent="0.35">
      <c r="B6" s="2" t="s">
        <v>2</v>
      </c>
      <c r="C6" s="2" t="s">
        <v>3</v>
      </c>
      <c r="D6" s="2" t="s">
        <v>4</v>
      </c>
    </row>
    <row r="8" spans="2:19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19" x14ac:dyDescent="0.35">
      <c r="B10" s="10" t="s">
        <v>85</v>
      </c>
      <c r="C10" s="10"/>
      <c r="D10" s="33" t="s">
        <v>8</v>
      </c>
      <c r="E10" s="34">
        <v>2.5510000000000001E-2</v>
      </c>
      <c r="F10" s="35" t="s">
        <v>9</v>
      </c>
      <c r="G10" s="113" t="s">
        <v>86</v>
      </c>
      <c r="H10" s="113">
        <f>'Material - Abmessungen'!E15</f>
        <v>6.7149562500000002</v>
      </c>
      <c r="I10" s="113" t="s">
        <v>12</v>
      </c>
      <c r="J10" s="44"/>
      <c r="K10" s="50"/>
      <c r="L10" s="44"/>
      <c r="M10" s="44"/>
      <c r="N10" s="49"/>
      <c r="O10" s="44"/>
      <c r="P10" s="44"/>
      <c r="Q10" s="51"/>
      <c r="R10" s="44"/>
      <c r="S10" s="52"/>
    </row>
    <row r="11" spans="2:19" x14ac:dyDescent="0.35">
      <c r="B11" s="10" t="s">
        <v>87</v>
      </c>
      <c r="C11" s="15"/>
      <c r="D11" s="33" t="s">
        <v>17</v>
      </c>
      <c r="E11" s="37">
        <v>2.5260000000000001E-2</v>
      </c>
      <c r="F11" s="38" t="s">
        <v>9</v>
      </c>
      <c r="G11" s="113" t="s">
        <v>86</v>
      </c>
      <c r="H11" s="113">
        <f>'Material - Abmessungen'!E15</f>
        <v>6.7149562500000002</v>
      </c>
      <c r="I11" s="113" t="s">
        <v>12</v>
      </c>
      <c r="J11" s="44"/>
      <c r="K11" s="50"/>
      <c r="L11" s="44"/>
      <c r="M11" s="44"/>
      <c r="N11" s="49"/>
      <c r="O11" s="44"/>
      <c r="P11" s="44"/>
      <c r="Q11" s="51"/>
      <c r="R11" s="44"/>
      <c r="S11" s="52"/>
    </row>
    <row r="12" spans="2:19" x14ac:dyDescent="0.35">
      <c r="B12" s="10" t="s">
        <v>88</v>
      </c>
      <c r="C12" s="15"/>
      <c r="D12" s="36" t="s">
        <v>20</v>
      </c>
      <c r="E12" s="37">
        <v>2.6009999999999998E-2</v>
      </c>
      <c r="F12" s="38" t="s">
        <v>9</v>
      </c>
      <c r="G12" s="113" t="s">
        <v>86</v>
      </c>
      <c r="H12" s="113">
        <f>'Material - Abmessungen'!E15</f>
        <v>6.7149562500000002</v>
      </c>
      <c r="I12" s="113" t="s">
        <v>12</v>
      </c>
      <c r="J12" s="44"/>
      <c r="K12" s="50"/>
      <c r="L12" s="44"/>
      <c r="M12" s="44"/>
      <c r="N12" s="49"/>
      <c r="O12" s="44"/>
      <c r="P12" s="44"/>
      <c r="Q12" s="51"/>
      <c r="R12" s="44"/>
      <c r="S12" s="52"/>
    </row>
    <row r="14" spans="2:19" x14ac:dyDescent="0.35">
      <c r="D14" s="14" t="s">
        <v>31</v>
      </c>
      <c r="E14" s="14"/>
      <c r="F14" s="14"/>
      <c r="G14" s="14"/>
      <c r="H14" s="14"/>
      <c r="I14" s="44"/>
      <c r="J14" s="44"/>
      <c r="K14" s="44"/>
    </row>
    <row r="15" spans="2:19" x14ac:dyDescent="0.35">
      <c r="F15" t="s">
        <v>32</v>
      </c>
      <c r="G15" t="s">
        <v>33</v>
      </c>
      <c r="H15" t="s">
        <v>34</v>
      </c>
      <c r="I15" s="44"/>
      <c r="J15" s="44"/>
      <c r="K15" s="44"/>
    </row>
    <row r="16" spans="2:19" x14ac:dyDescent="0.35">
      <c r="D16" s="10" t="s">
        <v>38</v>
      </c>
      <c r="E16" s="10"/>
      <c r="F16" s="10">
        <v>6.7149999999999999</v>
      </c>
      <c r="G16" s="10">
        <v>6.7149999999999999</v>
      </c>
      <c r="H16" s="10">
        <v>6.7149999999999999</v>
      </c>
      <c r="I16" s="44"/>
      <c r="J16" s="44"/>
      <c r="K16" s="44"/>
    </row>
    <row r="17" spans="4:13" x14ac:dyDescent="0.35">
      <c r="D17" s="11" t="s">
        <v>39</v>
      </c>
      <c r="E17" s="11"/>
      <c r="F17" s="11">
        <v>0</v>
      </c>
      <c r="G17" s="11">
        <v>0</v>
      </c>
      <c r="H17" s="11">
        <v>0</v>
      </c>
      <c r="I17" s="44"/>
      <c r="J17" s="44"/>
      <c r="K17" s="44"/>
    </row>
    <row r="18" spans="4:13" x14ac:dyDescent="0.35">
      <c r="D18" s="11" t="s">
        <v>40</v>
      </c>
      <c r="E18" s="11"/>
      <c r="F18" s="11">
        <v>9.1180000000000003</v>
      </c>
      <c r="G18" s="11">
        <v>9.1820000000000004</v>
      </c>
      <c r="H18" s="11">
        <v>9.0489999999999995</v>
      </c>
      <c r="I18" s="44"/>
      <c r="M18" t="s">
        <v>41</v>
      </c>
    </row>
    <row r="19" spans="4:13" x14ac:dyDescent="0.35">
      <c r="D19" t="s">
        <v>42</v>
      </c>
      <c r="F19" s="12">
        <f>F18/(F16+F17)</f>
        <v>1.357855547282204</v>
      </c>
      <c r="G19" s="12">
        <f t="shared" ref="G19:H19" si="0">G18/(G16+G17)</f>
        <v>1.3673864482501863</v>
      </c>
      <c r="H19" s="12">
        <f t="shared" si="0"/>
        <v>1.3475800446760982</v>
      </c>
      <c r="I19" s="46"/>
      <c r="J19" t="s">
        <v>43</v>
      </c>
      <c r="K19" s="13">
        <f>(F19+G19+H19)/3</f>
        <v>1.3576073467361629</v>
      </c>
      <c r="M19" s="39">
        <f>_xlfn.STDEV.S(F19,G19,H19)</f>
        <v>9.9055342242710068E-3</v>
      </c>
    </row>
    <row r="20" spans="4:13" x14ac:dyDescent="0.35">
      <c r="I20" s="44"/>
    </row>
    <row r="21" spans="4:13" x14ac:dyDescent="0.35">
      <c r="D21" s="10" t="s">
        <v>44</v>
      </c>
      <c r="E21" s="10"/>
      <c r="F21" s="10">
        <v>6.7149999999999999</v>
      </c>
      <c r="G21" s="10">
        <v>6.7149999999999999</v>
      </c>
      <c r="H21" s="10">
        <v>6.7149999999999999</v>
      </c>
      <c r="I21" s="44"/>
    </row>
    <row r="22" spans="4:13" x14ac:dyDescent="0.35">
      <c r="D22" s="11" t="s">
        <v>45</v>
      </c>
      <c r="E22" s="11"/>
      <c r="F22" s="11">
        <v>0</v>
      </c>
      <c r="G22" s="11">
        <v>0</v>
      </c>
      <c r="H22" s="11">
        <v>0</v>
      </c>
      <c r="I22" s="44"/>
    </row>
    <row r="23" spans="4:13" x14ac:dyDescent="0.35">
      <c r="D23" s="11" t="s">
        <v>46</v>
      </c>
      <c r="E23" s="11"/>
      <c r="F23" s="11">
        <v>6.6429999999999998</v>
      </c>
      <c r="G23" s="11">
        <v>6.6520000000000001</v>
      </c>
      <c r="H23" s="11">
        <v>6.6449999999999996</v>
      </c>
      <c r="I23" s="44"/>
      <c r="M23" t="s">
        <v>41</v>
      </c>
    </row>
    <row r="24" spans="4:13" x14ac:dyDescent="0.35">
      <c r="D24" t="s">
        <v>42</v>
      </c>
      <c r="F24" s="12">
        <f>F23/(F21+F22)</f>
        <v>0.98927773641102013</v>
      </c>
      <c r="G24" s="12">
        <f t="shared" ref="G24:H24" si="1">G23/(G21+G22)</f>
        <v>0.99061801935964267</v>
      </c>
      <c r="H24" s="12">
        <f t="shared" si="1"/>
        <v>0.98957557706626953</v>
      </c>
      <c r="I24" s="47"/>
      <c r="J24" t="s">
        <v>43</v>
      </c>
      <c r="K24" s="13">
        <f>(F24+G24+H24)/3</f>
        <v>0.98982377761231088</v>
      </c>
      <c r="M24" s="39">
        <f>_xlfn.STDEV.S(F24,G24,H24)</f>
        <v>7.0377001135559988E-4</v>
      </c>
    </row>
    <row r="25" spans="4:13" x14ac:dyDescent="0.35">
      <c r="D25" s="44"/>
      <c r="E25" s="44"/>
      <c r="F25" s="46"/>
      <c r="G25" s="46"/>
      <c r="H25" s="46"/>
      <c r="I25" s="46"/>
      <c r="J25" s="44"/>
      <c r="K25" s="46"/>
      <c r="L25" s="44"/>
      <c r="M25" s="48"/>
    </row>
    <row r="26" spans="4:13" x14ac:dyDescent="0.35">
      <c r="D26" s="54" t="s">
        <v>89</v>
      </c>
      <c r="E26" s="54"/>
      <c r="F26" s="55"/>
      <c r="G26" s="46"/>
      <c r="H26" s="46"/>
      <c r="I26" s="46"/>
      <c r="J26" s="44"/>
      <c r="K26" s="46"/>
      <c r="L26" s="44"/>
      <c r="M26" s="48"/>
    </row>
    <row r="27" spans="4:13" x14ac:dyDescent="0.35">
      <c r="D27" s="44" t="s">
        <v>8</v>
      </c>
      <c r="E27" s="44">
        <v>-0.22950000000000001</v>
      </c>
      <c r="F27" s="56" t="s">
        <v>90</v>
      </c>
      <c r="G27" s="46"/>
      <c r="H27" s="46"/>
      <c r="I27" s="46"/>
      <c r="J27" s="44"/>
      <c r="K27" s="46"/>
      <c r="L27" s="44"/>
      <c r="M27" s="48"/>
    </row>
    <row r="28" spans="4:13" x14ac:dyDescent="0.35">
      <c r="D28" s="44" t="s">
        <v>17</v>
      </c>
      <c r="E28" s="44">
        <v>-0.2712</v>
      </c>
      <c r="F28" s="56" t="s">
        <v>90</v>
      </c>
      <c r="G28" s="46"/>
      <c r="H28" s="46"/>
      <c r="I28" s="46"/>
      <c r="J28" s="44"/>
      <c r="K28" s="46"/>
      <c r="L28" s="44"/>
      <c r="M28" s="48"/>
    </row>
    <row r="29" spans="4:13" x14ac:dyDescent="0.35">
      <c r="D29" s="44" t="s">
        <v>20</v>
      </c>
      <c r="E29" s="44">
        <v>-4.3299999999999998E-2</v>
      </c>
      <c r="F29" s="56" t="s">
        <v>90</v>
      </c>
      <c r="G29" s="46"/>
      <c r="H29" s="46"/>
      <c r="I29" s="46"/>
      <c r="J29" s="44"/>
      <c r="K29" s="46"/>
      <c r="L29" s="44"/>
      <c r="M29" s="48"/>
    </row>
    <row r="30" spans="4:13" x14ac:dyDescent="0.35">
      <c r="D30" s="60" t="s">
        <v>91</v>
      </c>
      <c r="E30" s="62">
        <f>(E27+E28+E29)/3</f>
        <v>-0.18133333333333335</v>
      </c>
      <c r="F30" s="61" t="s">
        <v>90</v>
      </c>
      <c r="G30" s="46"/>
      <c r="H30" s="46"/>
      <c r="I30" s="46"/>
      <c r="J30" s="44"/>
      <c r="K30" s="46"/>
      <c r="L30" s="44"/>
      <c r="M30" s="48"/>
    </row>
    <row r="31" spans="4:13" x14ac:dyDescent="0.35">
      <c r="D31" s="44"/>
      <c r="E31" s="44"/>
      <c r="F31" s="46"/>
      <c r="G31" s="46"/>
      <c r="H31" s="46"/>
      <c r="I31" s="46"/>
      <c r="J31" s="44"/>
      <c r="K31" s="46"/>
      <c r="L31" s="44"/>
      <c r="M31" s="48"/>
    </row>
    <row r="32" spans="4:13" x14ac:dyDescent="0.35">
      <c r="D32" s="54" t="s">
        <v>89</v>
      </c>
      <c r="E32" s="54"/>
      <c r="F32" s="55"/>
      <c r="G32" s="46"/>
      <c r="H32" s="46"/>
      <c r="I32" s="46"/>
      <c r="J32" s="44"/>
      <c r="K32" s="46"/>
      <c r="L32" s="44"/>
      <c r="M32" s="48"/>
    </row>
    <row r="33" spans="2:19" x14ac:dyDescent="0.35">
      <c r="D33" s="44" t="s">
        <v>8</v>
      </c>
      <c r="E33" s="44">
        <v>0.12</v>
      </c>
      <c r="F33" s="56" t="s">
        <v>92</v>
      </c>
      <c r="G33" s="46"/>
      <c r="H33" s="46"/>
      <c r="I33" s="46"/>
      <c r="J33" s="44"/>
      <c r="K33" s="46"/>
      <c r="L33" s="44"/>
      <c r="M33" s="48"/>
    </row>
    <row r="34" spans="2:19" x14ac:dyDescent="0.35">
      <c r="D34" s="44" t="s">
        <v>17</v>
      </c>
      <c r="E34" s="44">
        <v>7.0000000000000007E-2</v>
      </c>
      <c r="F34" s="56" t="s">
        <v>92</v>
      </c>
      <c r="G34" s="46"/>
      <c r="H34" s="46"/>
      <c r="I34" s="46"/>
      <c r="J34" s="44"/>
      <c r="K34" s="46"/>
      <c r="L34" s="44"/>
      <c r="M34" s="48"/>
    </row>
    <row r="35" spans="2:19" x14ac:dyDescent="0.35">
      <c r="D35" s="44" t="s">
        <v>20</v>
      </c>
      <c r="E35" s="44">
        <v>0.41</v>
      </c>
      <c r="F35" s="56" t="s">
        <v>92</v>
      </c>
      <c r="G35" s="46"/>
      <c r="H35" s="46"/>
      <c r="I35" s="46"/>
      <c r="J35" s="44"/>
      <c r="K35" s="46"/>
      <c r="L35" s="44"/>
      <c r="M35" s="48"/>
    </row>
    <row r="36" spans="2:19" x14ac:dyDescent="0.35">
      <c r="D36" s="57" t="s">
        <v>91</v>
      </c>
      <c r="E36" s="58">
        <f>(E33+E34+E35)/3</f>
        <v>0.19999999999999998</v>
      </c>
      <c r="F36" s="59" t="s">
        <v>92</v>
      </c>
    </row>
    <row r="38" spans="2:19" x14ac:dyDescent="0.35">
      <c r="B38" s="1" t="s">
        <v>47</v>
      </c>
      <c r="C38" s="1"/>
      <c r="D38" s="1"/>
      <c r="E38" s="1"/>
      <c r="F38" s="1"/>
      <c r="G38" s="1"/>
      <c r="H38" s="1"/>
      <c r="I38" s="1"/>
    </row>
    <row r="39" spans="2:19" x14ac:dyDescent="0.35">
      <c r="B39" s="2" t="s">
        <v>2</v>
      </c>
      <c r="C39" s="2" t="s">
        <v>3</v>
      </c>
      <c r="D39" s="2" t="s">
        <v>4</v>
      </c>
    </row>
    <row r="41" spans="2:19" x14ac:dyDescent="0.35">
      <c r="C41" s="2" t="s">
        <v>5</v>
      </c>
      <c r="D41" s="2"/>
      <c r="E41" s="2"/>
      <c r="F41" s="2"/>
      <c r="G41" s="2" t="s">
        <v>6</v>
      </c>
      <c r="H41" s="2" t="s">
        <v>84</v>
      </c>
    </row>
    <row r="43" spans="2:19" x14ac:dyDescent="0.35">
      <c r="B43" s="10" t="s">
        <v>93</v>
      </c>
      <c r="C43" s="10"/>
      <c r="D43" s="33" t="s">
        <v>8</v>
      </c>
      <c r="E43" s="34">
        <v>2.547E-2</v>
      </c>
      <c r="F43" s="35" t="s">
        <v>9</v>
      </c>
      <c r="G43" s="113" t="s">
        <v>86</v>
      </c>
      <c r="H43" s="113">
        <f>'Material - Abmessungen'!E15</f>
        <v>6.7149562500000002</v>
      </c>
      <c r="I43" s="113" t="s">
        <v>12</v>
      </c>
      <c r="J43" s="44"/>
      <c r="K43" s="50"/>
      <c r="L43" s="44"/>
      <c r="M43" s="44"/>
      <c r="N43" s="49"/>
      <c r="O43" s="44"/>
      <c r="P43" s="44"/>
      <c r="Q43" s="51"/>
      <c r="R43" s="44"/>
      <c r="S43" s="52"/>
    </row>
    <row r="44" spans="2:19" x14ac:dyDescent="0.35">
      <c r="B44" s="10" t="s">
        <v>94</v>
      </c>
      <c r="C44" s="15"/>
      <c r="D44" s="33" t="s">
        <v>17</v>
      </c>
      <c r="E44" s="37">
        <v>2.5409999999999999E-2</v>
      </c>
      <c r="F44" s="38" t="s">
        <v>9</v>
      </c>
      <c r="G44" s="113" t="s">
        <v>86</v>
      </c>
      <c r="H44" s="113">
        <f>'Material - Abmessungen'!E15</f>
        <v>6.7149562500000002</v>
      </c>
      <c r="I44" s="113" t="s">
        <v>12</v>
      </c>
      <c r="J44" s="44"/>
      <c r="K44" s="50"/>
      <c r="L44" s="44"/>
      <c r="M44" s="44"/>
      <c r="N44" s="49"/>
      <c r="O44" s="44"/>
      <c r="P44" s="44"/>
      <c r="Q44" s="51"/>
      <c r="R44" s="44"/>
      <c r="S44" s="52"/>
    </row>
    <row r="45" spans="2:19" x14ac:dyDescent="0.35">
      <c r="B45" s="10" t="s">
        <v>95</v>
      </c>
      <c r="C45" s="15"/>
      <c r="D45" s="36" t="s">
        <v>20</v>
      </c>
      <c r="E45" s="37">
        <v>2.5440000000000001E-2</v>
      </c>
      <c r="F45" s="38" t="s">
        <v>9</v>
      </c>
      <c r="G45" s="113" t="s">
        <v>86</v>
      </c>
      <c r="H45" s="113">
        <f>'Material - Abmessungen'!E15</f>
        <v>6.7149562500000002</v>
      </c>
      <c r="I45" s="113" t="s">
        <v>12</v>
      </c>
      <c r="J45" s="44"/>
      <c r="K45" s="50"/>
      <c r="L45" s="44"/>
      <c r="M45" s="44"/>
      <c r="N45" s="49"/>
      <c r="O45" s="44"/>
      <c r="P45" s="44"/>
      <c r="Q45" s="51"/>
      <c r="R45" s="44"/>
      <c r="S45" s="52"/>
    </row>
    <row r="47" spans="2:19" x14ac:dyDescent="0.35">
      <c r="D47" s="14" t="s">
        <v>31</v>
      </c>
      <c r="E47" s="14"/>
      <c r="F47" s="14"/>
      <c r="G47" s="14"/>
      <c r="H47" s="14"/>
      <c r="I47" s="44"/>
      <c r="J47" s="44"/>
      <c r="K47" s="43"/>
    </row>
    <row r="48" spans="2:19" x14ac:dyDescent="0.35">
      <c r="F48" t="s">
        <v>32</v>
      </c>
      <c r="G48" t="s">
        <v>33</v>
      </c>
      <c r="H48" t="s">
        <v>34</v>
      </c>
      <c r="I48" s="44"/>
      <c r="J48" s="44"/>
    </row>
    <row r="49" spans="4:13" x14ac:dyDescent="0.35">
      <c r="D49" s="10" t="s">
        <v>38</v>
      </c>
      <c r="E49" s="10"/>
      <c r="F49" s="10">
        <v>6.7149999999999999</v>
      </c>
      <c r="G49" s="10">
        <v>6.7149999999999999</v>
      </c>
      <c r="H49" s="10">
        <v>6.7149999999999999</v>
      </c>
      <c r="I49" s="44"/>
      <c r="J49" s="44"/>
    </row>
    <row r="50" spans="4:13" x14ac:dyDescent="0.35">
      <c r="D50" s="11" t="s">
        <v>39</v>
      </c>
      <c r="E50" s="11"/>
      <c r="F50" s="11">
        <v>0</v>
      </c>
      <c r="G50" s="11">
        <v>0</v>
      </c>
      <c r="H50" s="11">
        <v>0</v>
      </c>
      <c r="I50" s="44"/>
      <c r="J50" s="44"/>
    </row>
    <row r="51" spans="4:13" x14ac:dyDescent="0.35">
      <c r="D51" s="11" t="s">
        <v>40</v>
      </c>
      <c r="E51" s="11"/>
      <c r="F51" s="11">
        <v>9.1890000000000001</v>
      </c>
      <c r="G51" s="11">
        <v>9.1319999999999997</v>
      </c>
      <c r="H51" s="11">
        <v>9.2110000000000003</v>
      </c>
      <c r="I51" s="44"/>
      <c r="J51" s="44"/>
      <c r="M51" t="s">
        <v>41</v>
      </c>
    </row>
    <row r="52" spans="4:13" x14ac:dyDescent="0.35">
      <c r="D52" t="s">
        <v>42</v>
      </c>
      <c r="F52" s="12">
        <f>F51/(F49+F50)</f>
        <v>1.3684288905435593</v>
      </c>
      <c r="G52" s="12">
        <f t="shared" ref="G52:H52" si="2">G51/(G49+G50)</f>
        <v>1.3599404318689501</v>
      </c>
      <c r="H52" s="12">
        <f t="shared" si="2"/>
        <v>1.3717051377513032</v>
      </c>
      <c r="I52" s="46"/>
      <c r="J52" s="44" t="s">
        <v>43</v>
      </c>
      <c r="K52" s="13">
        <f>(F52+G52+H52)/3</f>
        <v>1.3666914867212707</v>
      </c>
      <c r="M52" s="39">
        <f>_xlfn.STDEV.S(F52,G52,H52)</f>
        <v>6.0717382318282971E-3</v>
      </c>
    </row>
    <row r="53" spans="4:13" x14ac:dyDescent="0.35">
      <c r="I53" s="44"/>
      <c r="J53" s="44"/>
    </row>
    <row r="54" spans="4:13" x14ac:dyDescent="0.35">
      <c r="D54" s="10" t="s">
        <v>44</v>
      </c>
      <c r="E54" s="10"/>
      <c r="F54" s="10">
        <v>6.7149999999999999</v>
      </c>
      <c r="G54" s="10">
        <v>6.7149999999999999</v>
      </c>
      <c r="H54" s="10">
        <v>6.7149999999999999</v>
      </c>
      <c r="I54" s="44"/>
      <c r="J54" s="44"/>
    </row>
    <row r="55" spans="4:13" x14ac:dyDescent="0.35">
      <c r="D55" s="11" t="s">
        <v>45</v>
      </c>
      <c r="E55" s="11"/>
      <c r="F55" s="11">
        <v>0</v>
      </c>
      <c r="G55" s="11">
        <v>0</v>
      </c>
      <c r="H55" s="11">
        <v>0</v>
      </c>
      <c r="I55" s="44"/>
      <c r="J55" s="44"/>
    </row>
    <row r="56" spans="4:13" x14ac:dyDescent="0.35">
      <c r="D56" s="11" t="s">
        <v>46</v>
      </c>
      <c r="E56" s="11"/>
      <c r="F56" s="11">
        <v>6.6609999999999996</v>
      </c>
      <c r="G56" s="11">
        <v>6.6550000000000002</v>
      </c>
      <c r="H56" s="11">
        <v>6.6609999999999996</v>
      </c>
      <c r="I56" s="44"/>
      <c r="J56" s="44"/>
      <c r="M56" t="s">
        <v>41</v>
      </c>
    </row>
    <row r="57" spans="4:13" x14ac:dyDescent="0.35">
      <c r="D57" t="s">
        <v>42</v>
      </c>
      <c r="F57" s="12">
        <f>F56/(F54+F55)</f>
        <v>0.99195830230826498</v>
      </c>
      <c r="G57" s="12">
        <f t="shared" ref="G57:H57" si="3">G56/(G54+G55)</f>
        <v>0.99106478034251677</v>
      </c>
      <c r="H57" s="12">
        <f t="shared" si="3"/>
        <v>0.99195830230826498</v>
      </c>
      <c r="I57" s="47"/>
      <c r="J57" s="53" t="s">
        <v>43</v>
      </c>
      <c r="K57" s="13">
        <f>(F57+G57+H57)/3</f>
        <v>0.99166046165301547</v>
      </c>
      <c r="M57" s="39">
        <f>_xlfn.STDEV.S(F57,G57,H57)</f>
        <v>5.1587514745157369E-4</v>
      </c>
    </row>
    <row r="58" spans="4:13" x14ac:dyDescent="0.35">
      <c r="D58" s="44"/>
      <c r="E58" s="44"/>
      <c r="F58" s="46"/>
      <c r="G58" s="46"/>
      <c r="H58" s="46"/>
      <c r="I58" s="46"/>
      <c r="J58" s="44"/>
      <c r="K58" s="46"/>
      <c r="L58" s="44"/>
      <c r="M58" s="48"/>
    </row>
    <row r="59" spans="4:13" x14ac:dyDescent="0.35">
      <c r="D59" s="54" t="s">
        <v>89</v>
      </c>
      <c r="E59" s="54"/>
      <c r="F59" s="55"/>
      <c r="G59" s="46"/>
      <c r="H59" s="46"/>
      <c r="I59" s="46"/>
      <c r="J59" s="44"/>
      <c r="K59" s="46"/>
      <c r="L59" s="44"/>
      <c r="M59" s="48"/>
    </row>
    <row r="60" spans="4:13" x14ac:dyDescent="0.35">
      <c r="D60" s="44" t="s">
        <v>8</v>
      </c>
      <c r="E60" s="44">
        <v>-8.8999999999999996E-2</v>
      </c>
      <c r="F60" s="56" t="s">
        <v>90</v>
      </c>
      <c r="G60" s="46"/>
      <c r="H60" s="46"/>
      <c r="I60" s="46"/>
      <c r="J60" s="44"/>
      <c r="K60" s="46"/>
      <c r="L60" s="44"/>
      <c r="M60" s="48"/>
    </row>
    <row r="61" spans="4:13" x14ac:dyDescent="0.35">
      <c r="D61" s="44" t="s">
        <v>17</v>
      </c>
      <c r="E61" s="44">
        <v>-0.1033</v>
      </c>
      <c r="F61" s="56" t="s">
        <v>90</v>
      </c>
      <c r="G61" s="46"/>
      <c r="H61" s="46"/>
      <c r="I61" s="46"/>
      <c r="J61" s="44"/>
      <c r="K61" s="46"/>
      <c r="L61" s="44"/>
      <c r="M61" s="48"/>
    </row>
    <row r="62" spans="4:13" x14ac:dyDescent="0.35">
      <c r="D62" s="44" t="s">
        <v>20</v>
      </c>
      <c r="E62" s="44">
        <v>-0.35730000000000001</v>
      </c>
      <c r="F62" s="56" t="s">
        <v>90</v>
      </c>
      <c r="G62" s="46"/>
      <c r="H62" s="46"/>
      <c r="I62" s="46"/>
      <c r="J62" s="44"/>
      <c r="K62" s="46"/>
      <c r="L62" s="44"/>
      <c r="M62" s="48"/>
    </row>
    <row r="63" spans="4:13" x14ac:dyDescent="0.35">
      <c r="D63" s="60" t="s">
        <v>91</v>
      </c>
      <c r="E63" s="62">
        <f>(E60+E61+E62)/3</f>
        <v>-0.1832</v>
      </c>
      <c r="F63" s="61" t="s">
        <v>90</v>
      </c>
      <c r="G63" s="46"/>
      <c r="H63" s="46"/>
      <c r="I63" s="46"/>
      <c r="J63" s="44"/>
      <c r="K63" s="46"/>
      <c r="L63" s="44"/>
      <c r="M63" s="48"/>
    </row>
    <row r="64" spans="4:13" x14ac:dyDescent="0.35">
      <c r="D64" s="44"/>
      <c r="E64" s="44"/>
      <c r="F64" s="46"/>
      <c r="G64" s="46"/>
      <c r="H64" s="46"/>
      <c r="I64" s="46"/>
      <c r="J64" s="44"/>
      <c r="K64" s="46"/>
      <c r="L64" s="44"/>
      <c r="M64" s="48"/>
    </row>
    <row r="65" spans="2:19" x14ac:dyDescent="0.35">
      <c r="D65" s="54" t="s">
        <v>89</v>
      </c>
      <c r="E65" s="54"/>
      <c r="F65" s="55"/>
      <c r="G65" s="46"/>
      <c r="H65" s="46"/>
      <c r="I65" s="46"/>
      <c r="J65" s="44"/>
      <c r="K65" s="46"/>
      <c r="L65" s="44"/>
      <c r="M65" s="48"/>
    </row>
    <row r="66" spans="2:19" x14ac:dyDescent="0.35">
      <c r="D66" s="44" t="s">
        <v>8</v>
      </c>
      <c r="E66" s="44">
        <v>0.13</v>
      </c>
      <c r="F66" s="56" t="s">
        <v>92</v>
      </c>
      <c r="G66" s="46"/>
      <c r="H66" s="46"/>
      <c r="I66" s="46"/>
      <c r="J66" s="44"/>
      <c r="K66" s="46"/>
      <c r="L66" s="44"/>
      <c r="M66" s="48"/>
    </row>
    <row r="67" spans="2:19" x14ac:dyDescent="0.35">
      <c r="D67" s="44" t="s">
        <v>17</v>
      </c>
      <c r="E67" s="44">
        <v>0.1</v>
      </c>
      <c r="F67" s="56" t="s">
        <v>92</v>
      </c>
      <c r="G67" s="46"/>
      <c r="H67" s="46"/>
      <c r="I67" s="46"/>
      <c r="J67" s="44"/>
      <c r="K67" s="46"/>
      <c r="L67" s="44"/>
      <c r="M67" s="48"/>
    </row>
    <row r="68" spans="2:19" x14ac:dyDescent="0.35">
      <c r="D68" s="44" t="s">
        <v>20</v>
      </c>
      <c r="E68" s="44">
        <v>0.16</v>
      </c>
      <c r="F68" s="56" t="s">
        <v>92</v>
      </c>
      <c r="G68" s="46"/>
      <c r="H68" s="46"/>
      <c r="I68" s="46"/>
      <c r="J68" s="44"/>
      <c r="K68" s="46"/>
      <c r="L68" s="44"/>
      <c r="M68" s="48"/>
    </row>
    <row r="69" spans="2:19" x14ac:dyDescent="0.35">
      <c r="D69" s="57" t="s">
        <v>91</v>
      </c>
      <c r="E69" s="58">
        <f>(E66+E67+E68)/3</f>
        <v>0.13</v>
      </c>
      <c r="F69" s="59" t="s">
        <v>92</v>
      </c>
      <c r="G69" s="46"/>
      <c r="H69" s="46"/>
      <c r="I69" s="46"/>
      <c r="J69" s="44"/>
      <c r="K69" s="46"/>
      <c r="L69" s="44"/>
      <c r="M69" s="48"/>
    </row>
    <row r="70" spans="2:19" x14ac:dyDescent="0.35">
      <c r="D70" s="44"/>
      <c r="E70" s="44"/>
      <c r="F70" s="46"/>
      <c r="G70" s="46"/>
      <c r="H70" s="46"/>
      <c r="I70" s="46"/>
      <c r="J70" s="44"/>
      <c r="K70" s="46"/>
      <c r="L70" s="44"/>
      <c r="M70" s="48"/>
    </row>
    <row r="71" spans="2:19" x14ac:dyDescent="0.35">
      <c r="B71" s="1" t="s">
        <v>53</v>
      </c>
      <c r="C71" s="1"/>
      <c r="D71" s="1"/>
      <c r="E71" s="1"/>
      <c r="F71" s="1"/>
      <c r="G71" s="1"/>
      <c r="H71" s="1"/>
      <c r="I71" s="1"/>
    </row>
    <row r="72" spans="2:19" x14ac:dyDescent="0.35">
      <c r="B72" s="2" t="s">
        <v>2</v>
      </c>
      <c r="C72" s="2" t="s">
        <v>3</v>
      </c>
      <c r="D72" s="2" t="s">
        <v>4</v>
      </c>
    </row>
    <row r="74" spans="2:19" x14ac:dyDescent="0.35">
      <c r="C74" s="2" t="s">
        <v>5</v>
      </c>
      <c r="D74" s="2"/>
      <c r="E74" s="2"/>
      <c r="F74" s="2"/>
      <c r="G74" s="2" t="s">
        <v>6</v>
      </c>
      <c r="H74" s="2" t="s">
        <v>84</v>
      </c>
    </row>
    <row r="76" spans="2:19" x14ac:dyDescent="0.35">
      <c r="B76" s="10" t="s">
        <v>96</v>
      </c>
      <c r="C76" s="10"/>
      <c r="D76" s="33" t="s">
        <v>8</v>
      </c>
      <c r="E76" s="34">
        <v>2.5559999999999999E-2</v>
      </c>
      <c r="F76" s="35" t="s">
        <v>9</v>
      </c>
      <c r="G76" s="113" t="s">
        <v>86</v>
      </c>
      <c r="H76" s="113">
        <f>'Material - Abmessungen'!E15</f>
        <v>6.7149562500000002</v>
      </c>
      <c r="I76" s="113" t="s">
        <v>12</v>
      </c>
      <c r="J76" s="44"/>
      <c r="K76" s="50"/>
      <c r="L76" s="44"/>
      <c r="M76" s="44"/>
      <c r="N76" s="49"/>
      <c r="O76" s="44"/>
      <c r="P76" s="44"/>
      <c r="Q76" s="51"/>
      <c r="R76" s="44"/>
      <c r="S76" s="52"/>
    </row>
    <row r="77" spans="2:19" x14ac:dyDescent="0.35">
      <c r="B77" s="10" t="s">
        <v>97</v>
      </c>
      <c r="C77" s="15"/>
      <c r="D77" s="33" t="s">
        <v>17</v>
      </c>
      <c r="E77" s="37">
        <v>2.5260000000000001E-2</v>
      </c>
      <c r="F77" s="38" t="s">
        <v>9</v>
      </c>
      <c r="G77" s="113" t="s">
        <v>86</v>
      </c>
      <c r="H77" s="113">
        <f>'Material - Abmessungen'!E15</f>
        <v>6.7149562500000002</v>
      </c>
      <c r="I77" s="113" t="s">
        <v>12</v>
      </c>
      <c r="J77" s="44"/>
      <c r="K77" s="50"/>
      <c r="L77" s="44"/>
      <c r="M77" s="44"/>
      <c r="N77" s="49"/>
      <c r="O77" s="44"/>
      <c r="P77" s="44"/>
      <c r="Q77" s="51"/>
      <c r="R77" s="44"/>
      <c r="S77" s="52"/>
    </row>
    <row r="78" spans="2:19" x14ac:dyDescent="0.35">
      <c r="B78" s="10" t="s">
        <v>98</v>
      </c>
      <c r="C78" s="15"/>
      <c r="D78" s="36" t="s">
        <v>20</v>
      </c>
      <c r="E78" s="37">
        <v>2.5389999999999999E-2</v>
      </c>
      <c r="F78" s="38" t="s">
        <v>9</v>
      </c>
      <c r="G78" s="113" t="s">
        <v>86</v>
      </c>
      <c r="H78" s="113">
        <f>'Material - Abmessungen'!E15</f>
        <v>6.7149562500000002</v>
      </c>
      <c r="I78" s="113" t="s">
        <v>12</v>
      </c>
      <c r="J78" s="44"/>
      <c r="K78" s="50"/>
      <c r="L78" s="44"/>
      <c r="M78" s="44"/>
      <c r="N78" s="49"/>
      <c r="O78" s="44"/>
      <c r="P78" s="44"/>
      <c r="Q78" s="51"/>
      <c r="R78" s="44"/>
      <c r="S78" s="52"/>
    </row>
    <row r="80" spans="2:19" x14ac:dyDescent="0.35">
      <c r="D80" s="14" t="s">
        <v>31</v>
      </c>
      <c r="E80" s="14"/>
      <c r="F80" s="14"/>
      <c r="G80" s="14"/>
      <c r="H80" s="14"/>
      <c r="I80" s="44"/>
      <c r="J80" s="44"/>
      <c r="K80" s="43"/>
    </row>
    <row r="81" spans="4:13" x14ac:dyDescent="0.35">
      <c r="F81" t="s">
        <v>32</v>
      </c>
      <c r="G81" t="s">
        <v>33</v>
      </c>
      <c r="H81" t="s">
        <v>34</v>
      </c>
      <c r="I81" s="44"/>
      <c r="J81" s="44"/>
    </row>
    <row r="82" spans="4:13" x14ac:dyDescent="0.35">
      <c r="D82" s="10" t="s">
        <v>38</v>
      </c>
      <c r="E82" s="10"/>
      <c r="F82" s="10">
        <v>6.7149999999999999</v>
      </c>
      <c r="G82" s="10">
        <v>6.7149999999999999</v>
      </c>
      <c r="H82" s="10">
        <v>6.7149999999999999</v>
      </c>
      <c r="I82" s="44"/>
      <c r="J82" s="44"/>
    </row>
    <row r="83" spans="4:13" x14ac:dyDescent="0.35">
      <c r="D83" s="11" t="s">
        <v>39</v>
      </c>
      <c r="E83" s="11"/>
      <c r="F83" s="11">
        <v>0</v>
      </c>
      <c r="G83" s="11">
        <v>0</v>
      </c>
      <c r="H83" s="11">
        <v>0</v>
      </c>
      <c r="I83" s="44"/>
      <c r="J83" s="44"/>
    </row>
    <row r="84" spans="4:13" x14ac:dyDescent="0.35">
      <c r="D84" s="11" t="s">
        <v>40</v>
      </c>
      <c r="E84" s="11"/>
      <c r="F84" s="11">
        <v>9.0660000000000007</v>
      </c>
      <c r="G84" s="11">
        <v>9.2479999999999993</v>
      </c>
      <c r="H84" s="11">
        <v>9.2149999999999999</v>
      </c>
      <c r="I84" s="44"/>
      <c r="J84" s="44"/>
      <c r="M84" t="s">
        <v>41</v>
      </c>
    </row>
    <row r="85" spans="4:13" x14ac:dyDescent="0.35">
      <c r="D85" t="s">
        <v>42</v>
      </c>
      <c r="F85" s="12">
        <f>F84/(F82+F83)</f>
        <v>1.3501116902457186</v>
      </c>
      <c r="G85" s="12">
        <f t="shared" ref="G85:H85" si="4">G84/(G82+G83)</f>
        <v>1.3772151898734177</v>
      </c>
      <c r="H85" s="12">
        <f t="shared" si="4"/>
        <v>1.372300819061802</v>
      </c>
      <c r="I85" s="46"/>
      <c r="J85" s="44" t="s">
        <v>43</v>
      </c>
      <c r="K85" s="13">
        <f>(F85+G85+H85)/3</f>
        <v>1.3665425663936464</v>
      </c>
      <c r="M85" s="39">
        <f>_xlfn.STDEV.S(F85,G85,H85)</f>
        <v>1.4440153335748012E-2</v>
      </c>
    </row>
    <row r="86" spans="4:13" x14ac:dyDescent="0.35">
      <c r="I86" s="44"/>
      <c r="J86" s="44"/>
    </row>
    <row r="87" spans="4:13" x14ac:dyDescent="0.35">
      <c r="D87" s="10" t="s">
        <v>44</v>
      </c>
      <c r="E87" s="10"/>
      <c r="F87" s="10">
        <v>6.7149999999999999</v>
      </c>
      <c r="G87" s="10">
        <v>6.7149999999999999</v>
      </c>
      <c r="H87" s="10">
        <v>6.7149999999999999</v>
      </c>
      <c r="I87" s="44"/>
      <c r="J87" s="44"/>
    </row>
    <row r="88" spans="4:13" x14ac:dyDescent="0.35">
      <c r="D88" s="11" t="s">
        <v>45</v>
      </c>
      <c r="E88" s="11"/>
      <c r="F88" s="11">
        <v>0</v>
      </c>
      <c r="G88" s="11">
        <v>0</v>
      </c>
      <c r="H88" s="11">
        <v>0</v>
      </c>
      <c r="I88" s="44"/>
      <c r="J88" s="44"/>
    </row>
    <row r="89" spans="4:13" x14ac:dyDescent="0.35">
      <c r="D89" s="11" t="s">
        <v>46</v>
      </c>
      <c r="E89" s="11"/>
      <c r="F89" s="11">
        <v>6.6580000000000004</v>
      </c>
      <c r="G89" s="11">
        <v>6.6660000000000004</v>
      </c>
      <c r="H89" s="11">
        <v>6.6669999999999998</v>
      </c>
      <c r="I89" s="44"/>
      <c r="J89" s="44"/>
      <c r="M89" t="s">
        <v>41</v>
      </c>
    </row>
    <row r="90" spans="4:13" x14ac:dyDescent="0.35">
      <c r="D90" t="s">
        <v>42</v>
      </c>
      <c r="F90" s="12">
        <f>F89/(F87+F88)</f>
        <v>0.99151154132539099</v>
      </c>
      <c r="G90" s="12">
        <f t="shared" ref="G90:H90" si="5">G89/(G87+G88)</f>
        <v>0.99270290394638872</v>
      </c>
      <c r="H90" s="12">
        <f t="shared" si="5"/>
        <v>0.99285182427401342</v>
      </c>
      <c r="I90" s="47"/>
      <c r="J90" s="53" t="s">
        <v>43</v>
      </c>
      <c r="K90" s="13">
        <f>(F90+G90+H90)/3</f>
        <v>0.99235542318193104</v>
      </c>
      <c r="M90" s="39">
        <f>_xlfn.STDEV.S(F90,G90,H90)</f>
        <v>7.3460653199047701E-4</v>
      </c>
    </row>
    <row r="91" spans="4:13" x14ac:dyDescent="0.35">
      <c r="D91" s="44"/>
      <c r="E91" s="44"/>
      <c r="F91" s="46"/>
      <c r="G91" s="46"/>
      <c r="H91" s="46"/>
      <c r="I91" s="46"/>
      <c r="J91" s="44"/>
      <c r="K91" s="46"/>
      <c r="L91" s="44"/>
      <c r="M91" s="48"/>
    </row>
    <row r="92" spans="4:13" x14ac:dyDescent="0.35">
      <c r="D92" s="54" t="s">
        <v>89</v>
      </c>
      <c r="E92" s="54"/>
      <c r="F92" s="55"/>
      <c r="G92" s="46"/>
      <c r="H92" s="46"/>
      <c r="I92" s="46"/>
      <c r="J92" s="44"/>
      <c r="K92" s="46"/>
      <c r="L92" s="44"/>
      <c r="M92" s="48"/>
    </row>
    <row r="93" spans="4:13" x14ac:dyDescent="0.35">
      <c r="D93" s="44" t="s">
        <v>8</v>
      </c>
      <c r="E93" s="44">
        <v>-0.38940000000000002</v>
      </c>
      <c r="F93" s="56" t="s">
        <v>90</v>
      </c>
      <c r="G93" s="46"/>
      <c r="H93" s="46"/>
      <c r="I93" s="46"/>
      <c r="J93" s="44"/>
      <c r="K93" s="46"/>
      <c r="L93" s="44"/>
      <c r="M93" s="48"/>
    </row>
    <row r="94" spans="4:13" x14ac:dyDescent="0.35">
      <c r="D94" s="44" t="s">
        <v>17</v>
      </c>
      <c r="E94" s="44">
        <v>-0.37090000000000001</v>
      </c>
      <c r="F94" s="56" t="s">
        <v>90</v>
      </c>
      <c r="G94" s="46"/>
      <c r="H94" s="46"/>
      <c r="I94" s="46"/>
      <c r="J94" s="44"/>
      <c r="K94" s="46"/>
      <c r="L94" s="44"/>
      <c r="M94" s="48"/>
    </row>
    <row r="95" spans="4:13" x14ac:dyDescent="0.35">
      <c r="D95" s="44" t="s">
        <v>20</v>
      </c>
      <c r="E95" s="44">
        <v>-0.33160000000000001</v>
      </c>
      <c r="F95" s="56" t="s">
        <v>90</v>
      </c>
      <c r="G95" s="46"/>
      <c r="H95" s="46"/>
      <c r="I95" s="46"/>
      <c r="J95" s="44"/>
      <c r="K95" s="46"/>
      <c r="L95" s="44"/>
      <c r="M95" s="48"/>
    </row>
    <row r="96" spans="4:13" x14ac:dyDescent="0.35">
      <c r="D96" s="60" t="s">
        <v>91</v>
      </c>
      <c r="E96" s="62">
        <f>(E93+E94+E95)/3</f>
        <v>-0.36396666666666661</v>
      </c>
      <c r="F96" s="61" t="s">
        <v>90</v>
      </c>
      <c r="G96" s="46"/>
      <c r="H96" s="46"/>
      <c r="I96" s="46"/>
      <c r="J96" s="44"/>
      <c r="K96" s="46"/>
      <c r="L96" s="44"/>
      <c r="M96" s="48"/>
    </row>
    <row r="97" spans="2:13" x14ac:dyDescent="0.35">
      <c r="D97" s="44"/>
      <c r="E97" s="44"/>
      <c r="F97" s="46"/>
      <c r="G97" s="46"/>
      <c r="H97" s="46"/>
      <c r="I97" s="46"/>
      <c r="J97" s="44"/>
      <c r="K97" s="46"/>
      <c r="L97" s="44"/>
      <c r="M97" s="48"/>
    </row>
    <row r="98" spans="2:13" x14ac:dyDescent="0.35">
      <c r="D98" s="54" t="s">
        <v>89</v>
      </c>
      <c r="E98" s="54"/>
      <c r="F98" s="55"/>
      <c r="G98" s="46"/>
      <c r="H98" s="46"/>
      <c r="I98" s="46"/>
      <c r="J98" s="44"/>
      <c r="K98" s="46"/>
      <c r="L98" s="44"/>
      <c r="M98" s="48"/>
    </row>
    <row r="99" spans="2:13" x14ac:dyDescent="0.35">
      <c r="D99" s="44" t="s">
        <v>8</v>
      </c>
      <c r="E99" s="44">
        <v>0.05</v>
      </c>
      <c r="F99" s="56" t="s">
        <v>92</v>
      </c>
      <c r="G99" s="46"/>
      <c r="H99" s="46"/>
      <c r="I99" s="46"/>
      <c r="J99" s="44"/>
      <c r="K99" s="46"/>
      <c r="L99" s="44"/>
      <c r="M99" s="48"/>
    </row>
    <row r="100" spans="2:13" x14ac:dyDescent="0.35">
      <c r="D100" s="44" t="s">
        <v>17</v>
      </c>
      <c r="E100" s="44">
        <v>0.08</v>
      </c>
      <c r="F100" s="56" t="s">
        <v>92</v>
      </c>
      <c r="G100" s="46"/>
      <c r="H100" s="46"/>
      <c r="I100" s="46"/>
      <c r="J100" s="44"/>
      <c r="K100" s="46"/>
      <c r="L100" s="44"/>
      <c r="M100" s="48"/>
    </row>
    <row r="101" spans="2:13" x14ac:dyDescent="0.35">
      <c r="D101" s="44" t="s">
        <v>20</v>
      </c>
      <c r="E101" s="44">
        <v>0.06</v>
      </c>
      <c r="F101" s="56" t="s">
        <v>92</v>
      </c>
      <c r="G101" s="46"/>
      <c r="H101" s="46"/>
      <c r="I101" s="46"/>
      <c r="J101" s="44"/>
      <c r="K101" s="46"/>
      <c r="L101" s="44"/>
      <c r="M101" s="48"/>
    </row>
    <row r="102" spans="2:13" x14ac:dyDescent="0.35">
      <c r="D102" s="57" t="s">
        <v>91</v>
      </c>
      <c r="E102" s="58">
        <f>(E99+E100+E101)/3</f>
        <v>6.3333333333333339E-2</v>
      </c>
      <c r="F102" s="59" t="s">
        <v>92</v>
      </c>
      <c r="G102" s="46"/>
      <c r="H102" s="46"/>
      <c r="I102" s="46"/>
      <c r="J102" s="44"/>
      <c r="K102" s="46"/>
      <c r="L102" s="44"/>
      <c r="M102" s="48"/>
    </row>
    <row r="103" spans="2:13" x14ac:dyDescent="0.35">
      <c r="D103" s="44"/>
      <c r="E103" s="44"/>
      <c r="F103" s="46"/>
      <c r="G103" s="46"/>
      <c r="H103" s="46"/>
      <c r="I103" s="46"/>
      <c r="J103" s="44"/>
      <c r="K103" s="46"/>
      <c r="L103" s="44"/>
      <c r="M103" s="48"/>
    </row>
    <row r="104" spans="2:13" x14ac:dyDescent="0.35">
      <c r="B104" s="1" t="s">
        <v>99</v>
      </c>
      <c r="C104" s="1"/>
      <c r="D104" s="1"/>
      <c r="E104" s="1"/>
      <c r="F104" s="1"/>
      <c r="G104" s="1"/>
      <c r="H104" s="1"/>
      <c r="I104" s="1"/>
    </row>
    <row r="105" spans="2:13" x14ac:dyDescent="0.35">
      <c r="B105" s="2" t="s">
        <v>2</v>
      </c>
      <c r="C105" s="2" t="s">
        <v>3</v>
      </c>
      <c r="D105" s="2" t="s">
        <v>4</v>
      </c>
    </row>
    <row r="107" spans="2:13" x14ac:dyDescent="0.35">
      <c r="C107" s="2" t="s">
        <v>5</v>
      </c>
      <c r="D107" s="2"/>
      <c r="E107" s="2"/>
      <c r="F107" s="2"/>
      <c r="G107" s="2" t="s">
        <v>6</v>
      </c>
      <c r="H107" s="2" t="s">
        <v>84</v>
      </c>
    </row>
    <row r="109" spans="2:13" x14ac:dyDescent="0.35">
      <c r="B109" s="10" t="s">
        <v>100</v>
      </c>
      <c r="C109" s="10"/>
      <c r="D109" s="33" t="s">
        <v>8</v>
      </c>
      <c r="E109" s="34">
        <v>2.5340000000000001E-2</v>
      </c>
      <c r="F109" s="35" t="s">
        <v>9</v>
      </c>
      <c r="G109" s="113" t="s">
        <v>86</v>
      </c>
      <c r="H109" s="113">
        <f>'Material - Abmessungen'!E15</f>
        <v>6.7149562500000002</v>
      </c>
      <c r="I109" s="113" t="s">
        <v>12</v>
      </c>
      <c r="J109" s="44"/>
      <c r="K109" s="50"/>
      <c r="L109" s="44"/>
      <c r="M109" s="44"/>
    </row>
    <row r="110" spans="2:13" x14ac:dyDescent="0.35">
      <c r="B110" s="10" t="s">
        <v>101</v>
      </c>
      <c r="C110" s="15"/>
      <c r="D110" s="33" t="s">
        <v>17</v>
      </c>
      <c r="E110" s="37">
        <v>2.5340000000000001E-2</v>
      </c>
      <c r="F110" s="38" t="s">
        <v>9</v>
      </c>
      <c r="G110" s="113" t="s">
        <v>86</v>
      </c>
      <c r="H110" s="113">
        <f>'Material - Abmessungen'!E15</f>
        <v>6.7149562500000002</v>
      </c>
      <c r="I110" s="113" t="s">
        <v>12</v>
      </c>
      <c r="J110" s="44"/>
      <c r="K110" s="50"/>
      <c r="L110" s="44"/>
      <c r="M110" s="44"/>
    </row>
    <row r="111" spans="2:13" x14ac:dyDescent="0.35">
      <c r="B111" s="10" t="s">
        <v>102</v>
      </c>
      <c r="C111" s="15"/>
      <c r="D111" s="36" t="s">
        <v>20</v>
      </c>
      <c r="E111" s="37">
        <v>2.563E-2</v>
      </c>
      <c r="F111" s="38" t="s">
        <v>9</v>
      </c>
      <c r="G111" s="113" t="s">
        <v>86</v>
      </c>
      <c r="H111" s="113">
        <f>'Material - Abmessungen'!E15</f>
        <v>6.7149562500000002</v>
      </c>
      <c r="I111" s="113" t="s">
        <v>12</v>
      </c>
      <c r="J111" s="44"/>
      <c r="K111" s="50"/>
      <c r="L111" s="44"/>
      <c r="M111" s="44"/>
    </row>
    <row r="113" spans="4:13" x14ac:dyDescent="0.35">
      <c r="D113" s="14" t="s">
        <v>31</v>
      </c>
      <c r="E113" s="14"/>
      <c r="F113" s="14"/>
      <c r="G113" s="14"/>
      <c r="H113" s="14"/>
      <c r="I113" s="44"/>
      <c r="J113" s="44"/>
      <c r="K113" s="43"/>
    </row>
    <row r="114" spans="4:13" x14ac:dyDescent="0.35">
      <c r="F114" t="s">
        <v>32</v>
      </c>
      <c r="G114" t="s">
        <v>33</v>
      </c>
      <c r="H114" t="s">
        <v>34</v>
      </c>
      <c r="I114" s="44"/>
      <c r="J114" s="44"/>
    </row>
    <row r="115" spans="4:13" x14ac:dyDescent="0.35">
      <c r="D115" s="10" t="s">
        <v>38</v>
      </c>
      <c r="E115" s="10"/>
      <c r="F115" s="10">
        <v>6.7149999999999999</v>
      </c>
      <c r="G115" s="10">
        <v>6.7149999999999999</v>
      </c>
      <c r="H115" s="10">
        <v>6.7149999999999999</v>
      </c>
      <c r="I115" s="44"/>
      <c r="J115" s="44"/>
    </row>
    <row r="116" spans="4:13" x14ac:dyDescent="0.35">
      <c r="D116" s="11" t="s">
        <v>39</v>
      </c>
      <c r="E116" s="11"/>
      <c r="F116" s="11">
        <v>0</v>
      </c>
      <c r="G116" s="11">
        <v>0</v>
      </c>
      <c r="H116" s="11">
        <v>0</v>
      </c>
      <c r="I116" s="44"/>
      <c r="J116" s="44"/>
    </row>
    <row r="117" spans="4:13" x14ac:dyDescent="0.35">
      <c r="D117" s="11" t="s">
        <v>40</v>
      </c>
      <c r="E117" s="11"/>
      <c r="F117" s="11">
        <v>9.0540000000000003</v>
      </c>
      <c r="G117" s="11">
        <v>9.1359999999999992</v>
      </c>
      <c r="H117" s="11">
        <v>9.1910000000000007</v>
      </c>
      <c r="I117" s="44"/>
      <c r="J117" s="44"/>
      <c r="M117" t="s">
        <v>41</v>
      </c>
    </row>
    <row r="118" spans="4:13" x14ac:dyDescent="0.35">
      <c r="D118" t="s">
        <v>42</v>
      </c>
      <c r="F118" s="12">
        <f>F117/(F115+F116)</f>
        <v>1.348324646314222</v>
      </c>
      <c r="G118" s="12">
        <f t="shared" ref="G118:H118" si="6">G117/(G115+G116)</f>
        <v>1.3605361131794489</v>
      </c>
      <c r="H118" s="12">
        <f t="shared" si="6"/>
        <v>1.3687267311988087</v>
      </c>
      <c r="I118" s="46"/>
      <c r="J118" s="44" t="s">
        <v>43</v>
      </c>
      <c r="K118" s="13">
        <f>(F118+G118+H118)/3</f>
        <v>1.3591958302308267</v>
      </c>
      <c r="M118" s="39">
        <f>_xlfn.STDEV.S(F118,G118,H118)</f>
        <v>1.0266865914009318E-2</v>
      </c>
    </row>
    <row r="119" spans="4:13" x14ac:dyDescent="0.35">
      <c r="I119" s="44"/>
      <c r="J119" s="44"/>
    </row>
    <row r="120" spans="4:13" x14ac:dyDescent="0.35">
      <c r="D120" s="10" t="s">
        <v>44</v>
      </c>
      <c r="E120" s="10"/>
      <c r="F120" s="10">
        <v>6.7149999999999999</v>
      </c>
      <c r="G120" s="10">
        <v>6.7149999999999999</v>
      </c>
      <c r="H120" s="10">
        <v>6.7149999999999999</v>
      </c>
      <c r="I120" s="44"/>
      <c r="J120" s="44"/>
    </row>
    <row r="121" spans="4:13" x14ac:dyDescent="0.35">
      <c r="D121" s="11" t="s">
        <v>45</v>
      </c>
      <c r="E121" s="11"/>
      <c r="F121" s="11">
        <v>0</v>
      </c>
      <c r="G121" s="11">
        <v>0</v>
      </c>
      <c r="H121" s="11">
        <v>0</v>
      </c>
      <c r="I121" s="44"/>
      <c r="J121" s="44"/>
    </row>
    <row r="122" spans="4:13" x14ac:dyDescent="0.35">
      <c r="D122" s="11" t="s">
        <v>46</v>
      </c>
      <c r="E122" s="11"/>
      <c r="F122" s="11">
        <v>6.6630000000000003</v>
      </c>
      <c r="G122" s="11">
        <v>6.6769999999999996</v>
      </c>
      <c r="H122" s="11">
        <v>6.6669999999999998</v>
      </c>
      <c r="I122" s="44"/>
      <c r="J122" s="44"/>
      <c r="M122" t="s">
        <v>41</v>
      </c>
    </row>
    <row r="123" spans="4:13" x14ac:dyDescent="0.35">
      <c r="D123" t="s">
        <v>42</v>
      </c>
      <c r="F123" s="12">
        <f>F122/(F120+F121)</f>
        <v>0.99225614296351461</v>
      </c>
      <c r="G123" s="12">
        <f t="shared" ref="G123:H123" si="7">G122/(G120+G121)</f>
        <v>0.99434102755026055</v>
      </c>
      <c r="H123" s="12">
        <f t="shared" si="7"/>
        <v>0.99285182427401342</v>
      </c>
      <c r="I123" s="47"/>
      <c r="J123" s="53" t="s">
        <v>43</v>
      </c>
      <c r="K123" s="13">
        <f>(F123+G123+H123)/3</f>
        <v>0.99314966492926293</v>
      </c>
      <c r="M123" s="39">
        <f>_xlfn.STDEV.S(F123,G123,H123)</f>
        <v>1.0738797544195804E-3</v>
      </c>
    </row>
    <row r="124" spans="4:13" x14ac:dyDescent="0.35">
      <c r="D124" s="44"/>
      <c r="E124" s="44"/>
      <c r="F124" s="46"/>
      <c r="G124" s="46"/>
      <c r="H124" s="46"/>
      <c r="I124" s="46"/>
      <c r="J124" s="44"/>
      <c r="K124" s="46"/>
      <c r="L124" s="44"/>
      <c r="M124" s="48"/>
    </row>
    <row r="125" spans="4:13" x14ac:dyDescent="0.35">
      <c r="D125" s="54" t="s">
        <v>89</v>
      </c>
      <c r="E125" s="54"/>
      <c r="F125" s="55"/>
      <c r="G125" s="46"/>
      <c r="H125" s="46"/>
      <c r="I125" s="46"/>
      <c r="J125" s="44"/>
      <c r="K125" s="46"/>
      <c r="L125" s="44"/>
      <c r="M125" s="48"/>
    </row>
    <row r="126" spans="4:13" x14ac:dyDescent="0.35">
      <c r="D126" s="44" t="s">
        <v>8</v>
      </c>
      <c r="E126" s="44">
        <v>-0.12570000000000001</v>
      </c>
      <c r="F126" s="56" t="s">
        <v>90</v>
      </c>
      <c r="G126" s="46"/>
      <c r="H126" s="46"/>
      <c r="I126" s="46"/>
      <c r="J126" s="44"/>
      <c r="K126" s="46"/>
      <c r="L126" s="44"/>
      <c r="M126" s="48"/>
    </row>
    <row r="127" spans="4:13" x14ac:dyDescent="0.35">
      <c r="D127" s="44" t="s">
        <v>17</v>
      </c>
      <c r="E127" s="44">
        <v>-0.1313</v>
      </c>
      <c r="F127" s="56" t="s">
        <v>90</v>
      </c>
      <c r="G127" s="46"/>
      <c r="H127" s="46"/>
      <c r="I127" s="46"/>
      <c r="J127" s="44"/>
      <c r="K127" s="46"/>
      <c r="L127" s="44"/>
      <c r="M127" s="48"/>
    </row>
    <row r="128" spans="4:13" x14ac:dyDescent="0.35">
      <c r="D128" s="44" t="s">
        <v>20</v>
      </c>
      <c r="E128" s="44">
        <v>-0.33679999999999999</v>
      </c>
      <c r="F128" s="56" t="s">
        <v>90</v>
      </c>
      <c r="G128" s="46"/>
      <c r="H128" s="46"/>
      <c r="I128" s="46"/>
      <c r="J128" s="44"/>
      <c r="K128" s="46"/>
      <c r="L128" s="44"/>
      <c r="M128" s="48"/>
    </row>
    <row r="129" spans="2:19" x14ac:dyDescent="0.35">
      <c r="D129" s="60" t="s">
        <v>91</v>
      </c>
      <c r="E129" s="62">
        <f>(E126+E127+E128)/3</f>
        <v>-0.19793333333333332</v>
      </c>
      <c r="F129" s="61" t="s">
        <v>90</v>
      </c>
      <c r="G129" s="46"/>
      <c r="H129" s="46"/>
      <c r="I129" s="46"/>
      <c r="J129" s="44"/>
      <c r="K129" s="46"/>
      <c r="L129" s="44"/>
      <c r="M129" s="48"/>
    </row>
    <row r="130" spans="2:19" x14ac:dyDescent="0.35">
      <c r="D130" s="44"/>
      <c r="E130" s="44"/>
      <c r="F130" s="46"/>
      <c r="G130" s="46"/>
      <c r="H130" s="46"/>
      <c r="I130" s="46"/>
      <c r="J130" s="44"/>
      <c r="K130" s="46"/>
      <c r="L130" s="44"/>
      <c r="M130" s="48"/>
    </row>
    <row r="131" spans="2:19" x14ac:dyDescent="0.35">
      <c r="D131" s="54" t="s">
        <v>89</v>
      </c>
      <c r="E131" s="54"/>
      <c r="F131" s="55"/>
      <c r="G131" s="46"/>
      <c r="H131" s="46"/>
      <c r="I131" s="46"/>
      <c r="J131" s="44"/>
      <c r="K131" s="46"/>
      <c r="L131" s="44"/>
      <c r="M131" s="48"/>
    </row>
    <row r="132" spans="2:19" x14ac:dyDescent="0.35">
      <c r="D132" s="44" t="s">
        <v>8</v>
      </c>
      <c r="E132" s="44">
        <v>0.16</v>
      </c>
      <c r="F132" s="56" t="s">
        <v>92</v>
      </c>
      <c r="G132" s="46"/>
      <c r="H132" s="46"/>
      <c r="I132" s="46"/>
      <c r="J132" s="44"/>
      <c r="K132" s="46"/>
      <c r="L132" s="44"/>
      <c r="M132" s="48"/>
    </row>
    <row r="133" spans="2:19" x14ac:dyDescent="0.35">
      <c r="D133" s="44" t="s">
        <v>17</v>
      </c>
      <c r="E133" s="44">
        <v>0.13</v>
      </c>
      <c r="F133" s="56" t="s">
        <v>92</v>
      </c>
      <c r="G133" s="46"/>
      <c r="H133" s="46"/>
      <c r="I133" s="46"/>
      <c r="J133" s="44"/>
      <c r="K133" s="46"/>
      <c r="L133" s="44"/>
      <c r="M133" s="48"/>
    </row>
    <row r="134" spans="2:19" x14ac:dyDescent="0.35">
      <c r="D134" s="44" t="s">
        <v>20</v>
      </c>
      <c r="E134" s="44">
        <v>0.11</v>
      </c>
      <c r="F134" s="56" t="s">
        <v>92</v>
      </c>
      <c r="G134" s="46"/>
      <c r="H134" s="46"/>
      <c r="I134" s="46"/>
      <c r="J134" s="44"/>
      <c r="K134" s="46"/>
      <c r="L134" s="44"/>
      <c r="M134" s="48"/>
    </row>
    <row r="135" spans="2:19" x14ac:dyDescent="0.35">
      <c r="D135" s="57" t="s">
        <v>91</v>
      </c>
      <c r="E135" s="58">
        <f>(E132+E133+E134)/3</f>
        <v>0.13333333333333333</v>
      </c>
      <c r="F135" s="59" t="s">
        <v>92</v>
      </c>
      <c r="G135" s="46"/>
      <c r="H135" s="46"/>
      <c r="I135" s="46"/>
      <c r="J135" s="44"/>
      <c r="K135" s="46"/>
      <c r="L135" s="44"/>
      <c r="M135" s="48"/>
    </row>
    <row r="136" spans="2:19" x14ac:dyDescent="0.35">
      <c r="D136" s="44"/>
      <c r="E136" s="44"/>
      <c r="F136" s="46"/>
      <c r="G136" s="46"/>
      <c r="H136" s="46"/>
      <c r="I136" s="46"/>
      <c r="J136" s="44"/>
      <c r="K136" s="46"/>
      <c r="L136" s="44"/>
      <c r="M136" s="48"/>
    </row>
    <row r="137" spans="2:19" x14ac:dyDescent="0.35">
      <c r="B137" s="1" t="s">
        <v>58</v>
      </c>
      <c r="C137" s="1"/>
      <c r="D137" s="1"/>
      <c r="E137" s="1"/>
      <c r="F137" s="1"/>
      <c r="G137" s="1"/>
      <c r="H137" s="1"/>
      <c r="I137" s="1"/>
    </row>
    <row r="138" spans="2:19" x14ac:dyDescent="0.35">
      <c r="B138" s="2" t="s">
        <v>2</v>
      </c>
      <c r="C138" s="2" t="s">
        <v>3</v>
      </c>
      <c r="D138" s="2" t="s">
        <v>4</v>
      </c>
    </row>
    <row r="140" spans="2:19" x14ac:dyDescent="0.35">
      <c r="C140" s="2" t="s">
        <v>5</v>
      </c>
      <c r="D140" s="2"/>
      <c r="E140" s="2"/>
      <c r="F140" s="2"/>
      <c r="G140" s="2" t="s">
        <v>6</v>
      </c>
      <c r="H140" s="2" t="s">
        <v>84</v>
      </c>
    </row>
    <row r="142" spans="2:19" x14ac:dyDescent="0.35">
      <c r="B142" s="10" t="s">
        <v>103</v>
      </c>
      <c r="C142" s="10"/>
      <c r="D142" s="33" t="s">
        <v>8</v>
      </c>
      <c r="E142" s="34">
        <v>2.5520000000000001E-2</v>
      </c>
      <c r="F142" s="35" t="s">
        <v>9</v>
      </c>
      <c r="G142" s="113" t="s">
        <v>86</v>
      </c>
      <c r="H142" s="113">
        <f>'Material - Abmessungen'!E15</f>
        <v>6.7149562500000002</v>
      </c>
      <c r="I142" s="113" t="s">
        <v>12</v>
      </c>
      <c r="J142" s="44"/>
      <c r="K142" s="50"/>
      <c r="L142" s="44"/>
      <c r="M142" s="44"/>
      <c r="N142" s="49"/>
      <c r="O142" s="44"/>
      <c r="P142" s="44"/>
      <c r="Q142" s="51"/>
      <c r="R142" s="44"/>
      <c r="S142" s="52"/>
    </row>
    <row r="143" spans="2:19" x14ac:dyDescent="0.35">
      <c r="B143" s="97" t="s">
        <v>104</v>
      </c>
      <c r="C143" s="98"/>
      <c r="D143" s="100" t="s">
        <v>17</v>
      </c>
      <c r="E143" s="101">
        <v>2.5420000000000002E-2</v>
      </c>
      <c r="F143" s="102" t="s">
        <v>9</v>
      </c>
      <c r="G143" s="113" t="s">
        <v>86</v>
      </c>
      <c r="H143" s="113">
        <f>'Material - Abmessungen'!E15</f>
        <v>6.7149562500000002</v>
      </c>
      <c r="I143" s="113" t="s">
        <v>12</v>
      </c>
      <c r="J143" s="44"/>
      <c r="K143" s="50"/>
      <c r="L143" s="44"/>
      <c r="M143" s="44"/>
      <c r="N143" s="49"/>
      <c r="O143" s="44"/>
      <c r="P143" s="44"/>
      <c r="Q143" s="51"/>
      <c r="R143" s="44"/>
      <c r="S143" s="52"/>
    </row>
    <row r="144" spans="2:19" x14ac:dyDescent="0.35">
      <c r="B144" s="10" t="s">
        <v>105</v>
      </c>
      <c r="C144" s="15"/>
      <c r="D144" s="36" t="s">
        <v>20</v>
      </c>
      <c r="E144" s="37">
        <v>2.537E-2</v>
      </c>
      <c r="F144" s="38" t="s">
        <v>9</v>
      </c>
      <c r="G144" s="113" t="s">
        <v>86</v>
      </c>
      <c r="H144" s="113">
        <f>'Material - Abmessungen'!E15</f>
        <v>6.7149562500000002</v>
      </c>
      <c r="I144" s="113" t="s">
        <v>12</v>
      </c>
      <c r="J144" s="44"/>
      <c r="K144" s="50"/>
      <c r="L144" s="44"/>
      <c r="M144" s="44"/>
      <c r="N144" s="49"/>
      <c r="O144" s="44"/>
      <c r="P144" s="44"/>
      <c r="Q144" s="51"/>
      <c r="R144" s="44"/>
      <c r="S144" s="52"/>
    </row>
    <row r="145" spans="2:19" x14ac:dyDescent="0.35">
      <c r="B145" s="10" t="s">
        <v>106</v>
      </c>
      <c r="C145" s="11"/>
      <c r="D145" s="36" t="s">
        <v>107</v>
      </c>
      <c r="E145" s="37">
        <v>2.5590000000000002E-2</v>
      </c>
      <c r="F145" s="38" t="s">
        <v>9</v>
      </c>
      <c r="G145" s="113" t="s">
        <v>86</v>
      </c>
      <c r="H145" s="113">
        <f>'Material - Abmessungen'!E15</f>
        <v>6.7149562500000002</v>
      </c>
      <c r="I145" s="113" t="s">
        <v>12</v>
      </c>
      <c r="J145" s="44"/>
      <c r="K145" s="50"/>
      <c r="L145" s="44"/>
      <c r="M145" s="44"/>
      <c r="N145" s="49"/>
      <c r="O145" s="44"/>
      <c r="P145" s="44"/>
      <c r="Q145" s="51"/>
      <c r="R145" s="44"/>
      <c r="S145" s="52"/>
    </row>
    <row r="147" spans="2:19" x14ac:dyDescent="0.35">
      <c r="D147" s="14" t="s">
        <v>31</v>
      </c>
      <c r="E147" s="14"/>
      <c r="F147" s="14"/>
      <c r="G147" s="14"/>
      <c r="H147" s="14"/>
      <c r="I147" s="44"/>
      <c r="J147" s="45"/>
      <c r="K147" s="44"/>
    </row>
    <row r="148" spans="2:19" x14ac:dyDescent="0.35">
      <c r="F148" t="s">
        <v>32</v>
      </c>
      <c r="G148" t="s">
        <v>34</v>
      </c>
      <c r="H148" t="s">
        <v>34</v>
      </c>
      <c r="I148" t="s">
        <v>35</v>
      </c>
      <c r="J148" s="44"/>
      <c r="K148" s="44"/>
    </row>
    <row r="149" spans="2:19" x14ac:dyDescent="0.35">
      <c r="D149" s="10" t="s">
        <v>38</v>
      </c>
      <c r="E149" s="10"/>
      <c r="F149" s="10">
        <v>6.7149999999999999</v>
      </c>
      <c r="G149" s="10">
        <v>6.7149999999999999</v>
      </c>
      <c r="H149" s="66">
        <v>6.7149999999999999</v>
      </c>
      <c r="I149" s="10">
        <v>6.7149999999999999</v>
      </c>
      <c r="J149" s="44"/>
      <c r="K149" s="44"/>
    </row>
    <row r="150" spans="2:19" x14ac:dyDescent="0.35">
      <c r="D150" s="11" t="s">
        <v>39</v>
      </c>
      <c r="E150" s="11"/>
      <c r="F150" s="11">
        <v>0</v>
      </c>
      <c r="G150" s="11">
        <v>0</v>
      </c>
      <c r="H150" s="66">
        <v>0</v>
      </c>
      <c r="I150" s="11">
        <v>0</v>
      </c>
      <c r="J150" s="44"/>
      <c r="K150" s="44"/>
    </row>
    <row r="151" spans="2:19" x14ac:dyDescent="0.35">
      <c r="D151" s="11" t="s">
        <v>40</v>
      </c>
      <c r="E151" s="11"/>
      <c r="F151" s="11">
        <v>9.3219999999999992</v>
      </c>
      <c r="G151" s="11">
        <v>9.2149999999999999</v>
      </c>
      <c r="H151" s="66">
        <v>9.3079999999999998</v>
      </c>
      <c r="I151" s="11">
        <v>9.2219999999999995</v>
      </c>
      <c r="M151" t="s">
        <v>41</v>
      </c>
    </row>
    <row r="152" spans="2:19" x14ac:dyDescent="0.35">
      <c r="D152" t="s">
        <v>42</v>
      </c>
      <c r="F152" s="12">
        <f>F151/(F149+F150)</f>
        <v>1.388235294117647</v>
      </c>
      <c r="G152" s="12">
        <f>G151/(G149+G150)</f>
        <v>1.372300819061802</v>
      </c>
      <c r="H152" s="12">
        <f>H151/(H149+H150)</f>
        <v>1.386150409530901</v>
      </c>
      <c r="I152" s="12">
        <f>I151/(I149+I150)</f>
        <v>1.373343261355175</v>
      </c>
      <c r="J152" t="s">
        <v>43</v>
      </c>
      <c r="K152" s="13">
        <f>(F152+G152+I152+ H152)/4</f>
        <v>1.3800074460163811</v>
      </c>
      <c r="M152" s="39">
        <f>_xlfn.STDEV.S(F152,G152,I152,H152)</f>
        <v>8.3513859395497221E-3</v>
      </c>
    </row>
    <row r="154" spans="2:19" x14ac:dyDescent="0.35">
      <c r="D154" s="10" t="s">
        <v>44</v>
      </c>
      <c r="E154" s="10"/>
      <c r="F154" s="10">
        <v>6.7149999999999999</v>
      </c>
      <c r="G154" s="10">
        <v>6.7149999999999999</v>
      </c>
      <c r="H154" s="66">
        <v>6.7149999999999999</v>
      </c>
      <c r="I154" s="10">
        <v>6.7149999999999999</v>
      </c>
    </row>
    <row r="155" spans="2:19" x14ac:dyDescent="0.35">
      <c r="D155" s="11" t="s">
        <v>45</v>
      </c>
      <c r="E155" s="11"/>
      <c r="F155" s="11">
        <v>0</v>
      </c>
      <c r="G155" s="11">
        <v>0</v>
      </c>
      <c r="H155" s="71">
        <v>0</v>
      </c>
      <c r="I155" s="11">
        <v>0</v>
      </c>
    </row>
    <row r="156" spans="2:19" x14ac:dyDescent="0.35">
      <c r="D156" s="11" t="s">
        <v>46</v>
      </c>
      <c r="E156" s="11"/>
      <c r="F156" s="11">
        <v>6.6660000000000004</v>
      </c>
      <c r="G156" s="11">
        <v>6.67</v>
      </c>
      <c r="H156" s="71">
        <v>6.67</v>
      </c>
      <c r="I156" s="11">
        <v>6.67</v>
      </c>
      <c r="M156" t="s">
        <v>41</v>
      </c>
    </row>
    <row r="157" spans="2:19" x14ac:dyDescent="0.35">
      <c r="D157" t="s">
        <v>42</v>
      </c>
      <c r="F157" s="12">
        <f>F156/(F154+F155)</f>
        <v>0.99270290394638872</v>
      </c>
      <c r="G157" s="12">
        <f>G156/(G154+G155)</f>
        <v>0.99329858525688752</v>
      </c>
      <c r="H157" s="12">
        <f>H156/(H154+H155)</f>
        <v>0.99329858525688752</v>
      </c>
      <c r="I157" s="12">
        <f>I156/(I154+I155)</f>
        <v>0.99329858525688752</v>
      </c>
      <c r="J157" t="s">
        <v>43</v>
      </c>
      <c r="K157" s="13">
        <f>(F157+G157+I157+H157)/3</f>
        <v>1.3241995532390172</v>
      </c>
      <c r="M157" s="39">
        <f>_xlfn.STDEV.S(F157,G157,I157,H157)</f>
        <v>2.9784065524940395E-4</v>
      </c>
    </row>
    <row r="159" spans="2:19" x14ac:dyDescent="0.35">
      <c r="D159" s="54" t="s">
        <v>89</v>
      </c>
      <c r="E159" s="54"/>
      <c r="F159" s="55"/>
    </row>
    <row r="160" spans="2:19" x14ac:dyDescent="0.35">
      <c r="D160" s="44" t="s">
        <v>8</v>
      </c>
      <c r="E160" s="44">
        <v>-0.37480000000000002</v>
      </c>
      <c r="F160" s="56" t="s">
        <v>90</v>
      </c>
    </row>
    <row r="161" spans="4:6" x14ac:dyDescent="0.35">
      <c r="D161" s="44" t="s">
        <v>17</v>
      </c>
      <c r="E161" s="44">
        <v>-0.35570000000000002</v>
      </c>
      <c r="F161" s="56" t="s">
        <v>90</v>
      </c>
    </row>
    <row r="162" spans="4:6" x14ac:dyDescent="0.35">
      <c r="D162" s="44" t="s">
        <v>108</v>
      </c>
      <c r="E162" s="44">
        <v>-0.40450000000000003</v>
      </c>
      <c r="F162" s="104" t="s">
        <v>90</v>
      </c>
    </row>
    <row r="163" spans="4:6" x14ac:dyDescent="0.35">
      <c r="D163" s="44" t="s">
        <v>109</v>
      </c>
      <c r="E163" s="44">
        <v>-0.3669</v>
      </c>
      <c r="F163" s="56" t="s">
        <v>90</v>
      </c>
    </row>
    <row r="164" spans="4:6" x14ac:dyDescent="0.35">
      <c r="D164" s="60" t="s">
        <v>91</v>
      </c>
      <c r="E164" s="62">
        <v>-0.3755</v>
      </c>
      <c r="F164" s="61" t="s">
        <v>90</v>
      </c>
    </row>
    <row r="165" spans="4:6" x14ac:dyDescent="0.35">
      <c r="D165" s="44"/>
      <c r="E165" s="44"/>
      <c r="F165" s="46"/>
    </row>
    <row r="166" spans="4:6" x14ac:dyDescent="0.35">
      <c r="D166" s="54" t="s">
        <v>89</v>
      </c>
      <c r="E166" s="54"/>
      <c r="F166" s="55"/>
    </row>
    <row r="167" spans="4:6" x14ac:dyDescent="0.35">
      <c r="D167" s="44" t="s">
        <v>8</v>
      </c>
      <c r="E167" s="44">
        <v>8.3000000000000001E-3</v>
      </c>
      <c r="F167" s="56" t="s">
        <v>92</v>
      </c>
    </row>
    <row r="168" spans="4:6" x14ac:dyDescent="0.35">
      <c r="D168" s="44" t="s">
        <v>17</v>
      </c>
      <c r="E168" s="44">
        <v>1.14E-2</v>
      </c>
      <c r="F168" s="56" t="s">
        <v>92</v>
      </c>
    </row>
    <row r="169" spans="4:6" x14ac:dyDescent="0.35">
      <c r="D169" s="44" t="s">
        <v>108</v>
      </c>
      <c r="E169" s="44">
        <v>1.14E-2</v>
      </c>
      <c r="F169" s="104" t="s">
        <v>92</v>
      </c>
    </row>
    <row r="170" spans="4:6" x14ac:dyDescent="0.35">
      <c r="D170" s="44" t="s">
        <v>109</v>
      </c>
      <c r="E170" s="44">
        <v>1.0800000000000001E-2</v>
      </c>
      <c r="F170" s="56" t="s">
        <v>92</v>
      </c>
    </row>
    <row r="171" spans="4:6" x14ac:dyDescent="0.35">
      <c r="D171" s="57" t="s">
        <v>91</v>
      </c>
      <c r="E171" s="58">
        <v>1.09E-2</v>
      </c>
      <c r="F171" s="59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71"/>
  <sheetViews>
    <sheetView workbookViewId="0"/>
  </sheetViews>
  <sheetFormatPr baseColWidth="10" defaultRowHeight="14.5" x14ac:dyDescent="0.35"/>
  <cols>
    <col min="2" max="2" width="40" customWidth="1"/>
    <col min="5" max="5" width="17.1796875" customWidth="1"/>
    <col min="7" max="7" width="33.54296875" customWidth="1"/>
    <col min="8" max="8" width="14" customWidth="1"/>
    <col min="10" max="10" width="22.36328125" customWidth="1"/>
    <col min="12" max="12" width="15.90625" customWidth="1"/>
    <col min="13" max="13" width="18.54296875" customWidth="1"/>
  </cols>
  <sheetData>
    <row r="2" spans="2:13" x14ac:dyDescent="0.35">
      <c r="B2" s="1" t="s">
        <v>110</v>
      </c>
      <c r="C2" s="75"/>
      <c r="D2" s="75"/>
      <c r="E2" s="75"/>
      <c r="F2" s="75"/>
      <c r="G2" s="75"/>
      <c r="H2" s="75"/>
    </row>
    <row r="5" spans="2:13" x14ac:dyDescent="0.35">
      <c r="B5" s="1" t="s">
        <v>111</v>
      </c>
      <c r="C5" s="1"/>
      <c r="D5" s="1"/>
      <c r="E5" s="1"/>
      <c r="F5" s="1"/>
      <c r="G5" s="1"/>
      <c r="H5" s="1"/>
      <c r="I5" s="1"/>
    </row>
    <row r="6" spans="2:13" x14ac:dyDescent="0.35">
      <c r="B6" s="2" t="s">
        <v>2</v>
      </c>
      <c r="C6" s="2" t="s">
        <v>3</v>
      </c>
      <c r="D6" s="2" t="s">
        <v>4</v>
      </c>
    </row>
    <row r="8" spans="2:13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13" x14ac:dyDescent="0.35">
      <c r="B10" s="10" t="s">
        <v>112</v>
      </c>
      <c r="C10" s="10"/>
      <c r="D10" s="33" t="s">
        <v>8</v>
      </c>
      <c r="E10" s="34">
        <v>2.496E-2</v>
      </c>
      <c r="F10" s="35" t="s">
        <v>9</v>
      </c>
      <c r="G10" s="113" t="s">
        <v>86</v>
      </c>
      <c r="H10" s="113">
        <f>'Material - Abmessungen'!E15</f>
        <v>6.7149562500000002</v>
      </c>
      <c r="I10" s="113" t="s">
        <v>12</v>
      </c>
      <c r="J10" s="44"/>
      <c r="K10" s="50"/>
      <c r="L10" s="44"/>
      <c r="M10" s="44"/>
    </row>
    <row r="11" spans="2:13" x14ac:dyDescent="0.35">
      <c r="B11" s="10" t="s">
        <v>113</v>
      </c>
      <c r="C11" s="15"/>
      <c r="D11" s="33" t="s">
        <v>17</v>
      </c>
      <c r="E11" s="37">
        <v>2.5239999999999999E-2</v>
      </c>
      <c r="F11" s="38" t="s">
        <v>9</v>
      </c>
      <c r="G11" s="113" t="s">
        <v>86</v>
      </c>
      <c r="H11" s="113">
        <f>'Material - Abmessungen'!E15</f>
        <v>6.7149562500000002</v>
      </c>
      <c r="I11" s="113" t="s">
        <v>12</v>
      </c>
      <c r="J11" s="44"/>
      <c r="K11" s="50"/>
      <c r="L11" s="44"/>
      <c r="M11" s="44"/>
    </row>
    <row r="12" spans="2:13" x14ac:dyDescent="0.35">
      <c r="B12" s="10" t="s">
        <v>114</v>
      </c>
      <c r="C12" s="15"/>
      <c r="D12" s="36" t="s">
        <v>20</v>
      </c>
      <c r="E12" s="37">
        <v>2.504E-2</v>
      </c>
      <c r="F12" s="38" t="s">
        <v>9</v>
      </c>
      <c r="G12" s="113" t="s">
        <v>86</v>
      </c>
      <c r="H12" s="113">
        <f>'Material - Abmessungen'!E15</f>
        <v>6.7149562500000002</v>
      </c>
      <c r="I12" s="113" t="s">
        <v>12</v>
      </c>
      <c r="J12" s="44"/>
      <c r="K12" s="50"/>
      <c r="L12" s="44"/>
      <c r="M12" s="44"/>
    </row>
    <row r="14" spans="2:13" x14ac:dyDescent="0.35">
      <c r="D14" s="14" t="s">
        <v>31</v>
      </c>
      <c r="E14" s="14"/>
      <c r="F14" s="14"/>
      <c r="G14" s="14"/>
      <c r="H14" s="14"/>
      <c r="I14" s="44"/>
      <c r="J14" s="44"/>
      <c r="K14" s="44"/>
    </row>
    <row r="15" spans="2:13" x14ac:dyDescent="0.35">
      <c r="F15" t="s">
        <v>32</v>
      </c>
      <c r="G15" t="s">
        <v>33</v>
      </c>
      <c r="H15" t="s">
        <v>34</v>
      </c>
      <c r="I15" s="44"/>
      <c r="J15" s="44"/>
      <c r="K15" s="44"/>
    </row>
    <row r="16" spans="2:13" x14ac:dyDescent="0.35">
      <c r="D16" s="10" t="s">
        <v>38</v>
      </c>
      <c r="E16" s="10"/>
      <c r="F16" s="10">
        <v>6.7149999999999999</v>
      </c>
      <c r="G16" s="10">
        <v>6.7149999999999999</v>
      </c>
      <c r="H16" s="10">
        <v>6.7149999999999999</v>
      </c>
      <c r="I16" s="44"/>
      <c r="J16" s="44"/>
      <c r="K16" s="44"/>
    </row>
    <row r="17" spans="4:13" x14ac:dyDescent="0.35">
      <c r="D17" s="11" t="s">
        <v>39</v>
      </c>
      <c r="E17" s="11"/>
      <c r="F17" s="11">
        <v>0</v>
      </c>
      <c r="G17" s="11">
        <v>0</v>
      </c>
      <c r="H17" s="11">
        <v>0</v>
      </c>
      <c r="I17" s="44"/>
      <c r="J17" s="44"/>
      <c r="K17" s="44"/>
    </row>
    <row r="18" spans="4:13" x14ac:dyDescent="0.35">
      <c r="D18" s="11" t="s">
        <v>40</v>
      </c>
      <c r="E18" s="11"/>
      <c r="F18" s="11">
        <v>7.9480000000000004</v>
      </c>
      <c r="G18" s="11">
        <v>8.0139999999999993</v>
      </c>
      <c r="H18" s="11">
        <v>8.0039999999999996</v>
      </c>
      <c r="I18" s="44"/>
      <c r="M18" t="s">
        <v>41</v>
      </c>
    </row>
    <row r="19" spans="4:13" x14ac:dyDescent="0.35">
      <c r="D19" t="s">
        <v>42</v>
      </c>
      <c r="F19" s="12">
        <f>F18/(F16+F17)</f>
        <v>1.1836187639612807</v>
      </c>
      <c r="G19" s="12">
        <f t="shared" ref="G19:H19" si="0">G18/(G16+G17)</f>
        <v>1.1934475055845122</v>
      </c>
      <c r="H19" s="12">
        <f t="shared" si="0"/>
        <v>1.1919583023082649</v>
      </c>
      <c r="I19" s="46"/>
      <c r="J19" t="s">
        <v>43</v>
      </c>
      <c r="K19" s="13">
        <f>(F19+G19+H19)/3</f>
        <v>1.189674857284686</v>
      </c>
      <c r="M19" s="39">
        <f>_xlfn.STDEV.S(F19,G19,H19)</f>
        <v>5.2973230367650108E-3</v>
      </c>
    </row>
    <row r="20" spans="4:13" x14ac:dyDescent="0.35">
      <c r="I20" s="44"/>
    </row>
    <row r="21" spans="4:13" x14ac:dyDescent="0.35">
      <c r="D21" s="10" t="s">
        <v>44</v>
      </c>
      <c r="E21" s="10"/>
      <c r="F21" s="10">
        <v>6.7149999999999999</v>
      </c>
      <c r="G21" s="10">
        <v>6.7149999999999999</v>
      </c>
      <c r="H21" s="10">
        <v>6.7149999999999999</v>
      </c>
      <c r="I21" s="44"/>
    </row>
    <row r="22" spans="4:13" x14ac:dyDescent="0.35">
      <c r="D22" s="11" t="s">
        <v>45</v>
      </c>
      <c r="E22" s="11"/>
      <c r="F22" s="11">
        <v>0</v>
      </c>
      <c r="G22" s="11">
        <v>0</v>
      </c>
      <c r="H22" s="11">
        <v>0</v>
      </c>
      <c r="I22" s="44"/>
    </row>
    <row r="23" spans="4:13" x14ac:dyDescent="0.35">
      <c r="D23" s="11" t="s">
        <v>46</v>
      </c>
      <c r="E23" s="11"/>
      <c r="F23" s="11">
        <v>6.633</v>
      </c>
      <c r="G23" s="11">
        <v>6.6449999999999996</v>
      </c>
      <c r="H23" s="11">
        <v>6.6379999999999999</v>
      </c>
      <c r="I23" s="44"/>
      <c r="M23" t="s">
        <v>41</v>
      </c>
    </row>
    <row r="24" spans="4:13" x14ac:dyDescent="0.35">
      <c r="D24" t="s">
        <v>42</v>
      </c>
      <c r="F24" s="12">
        <f>F23/(F21+F22)</f>
        <v>0.98778853313477288</v>
      </c>
      <c r="G24" s="12">
        <f t="shared" ref="G24:H24" si="1">G23/(G21+G22)</f>
        <v>0.98957557706626953</v>
      </c>
      <c r="H24" s="12">
        <f t="shared" si="1"/>
        <v>0.9885331347728965</v>
      </c>
      <c r="I24" s="47"/>
      <c r="J24" t="s">
        <v>43</v>
      </c>
      <c r="K24" s="13">
        <f>(F24+G24+H24)/3</f>
        <v>0.98863241499131294</v>
      </c>
      <c r="M24" s="39">
        <f>_xlfn.STDEV.S(F24,G24,H24)</f>
        <v>8.9764910995408624E-4</v>
      </c>
    </row>
    <row r="25" spans="4:13" x14ac:dyDescent="0.35">
      <c r="D25" s="44"/>
      <c r="E25" s="44"/>
      <c r="F25" s="46"/>
      <c r="G25" s="46"/>
      <c r="H25" s="46"/>
      <c r="I25" s="46"/>
      <c r="J25" s="44"/>
      <c r="K25" s="46"/>
      <c r="L25" s="44"/>
      <c r="M25" s="48"/>
    </row>
    <row r="26" spans="4:13" x14ac:dyDescent="0.35">
      <c r="D26" s="54" t="s">
        <v>89</v>
      </c>
      <c r="E26" s="54"/>
      <c r="F26" s="55"/>
      <c r="G26" s="46"/>
      <c r="H26" s="46"/>
      <c r="I26" s="46"/>
      <c r="J26" s="44"/>
      <c r="K26" s="46"/>
      <c r="L26" s="44"/>
      <c r="M26" s="48"/>
    </row>
    <row r="27" spans="4:13" x14ac:dyDescent="0.35">
      <c r="D27" s="44" t="s">
        <v>8</v>
      </c>
      <c r="E27" s="44">
        <v>-0.25140000000000001</v>
      </c>
      <c r="F27" s="56" t="s">
        <v>90</v>
      </c>
      <c r="G27" s="46"/>
      <c r="H27" s="46"/>
      <c r="I27" s="46"/>
      <c r="J27" s="44"/>
      <c r="K27" s="46"/>
      <c r="L27" s="44"/>
      <c r="M27" s="48"/>
    </row>
    <row r="28" spans="4:13" x14ac:dyDescent="0.35">
      <c r="D28" s="44" t="s">
        <v>17</v>
      </c>
      <c r="E28" s="44">
        <v>-0.20810000000000001</v>
      </c>
      <c r="F28" s="56" t="s">
        <v>90</v>
      </c>
      <c r="G28" s="46"/>
      <c r="H28" s="46"/>
      <c r="I28" s="46"/>
      <c r="J28" s="44"/>
      <c r="K28" s="46"/>
      <c r="L28" s="44"/>
      <c r="M28" s="48"/>
    </row>
    <row r="29" spans="4:13" x14ac:dyDescent="0.35">
      <c r="D29" s="44" t="s">
        <v>20</v>
      </c>
      <c r="E29" s="44">
        <v>-0.21460000000000001</v>
      </c>
      <c r="F29" s="56" t="s">
        <v>90</v>
      </c>
      <c r="G29" s="46"/>
      <c r="H29" s="46"/>
      <c r="I29" s="46"/>
      <c r="J29" s="44"/>
      <c r="K29" s="46"/>
      <c r="L29" s="44"/>
      <c r="M29" s="48"/>
    </row>
    <row r="30" spans="4:13" x14ac:dyDescent="0.35">
      <c r="D30" s="60" t="s">
        <v>91</v>
      </c>
      <c r="E30" s="62">
        <f>(E27+E28+E29)/3</f>
        <v>-0.22470000000000001</v>
      </c>
      <c r="F30" s="61" t="s">
        <v>90</v>
      </c>
      <c r="G30" s="46"/>
      <c r="H30" s="46"/>
      <c r="I30" s="46"/>
      <c r="J30" s="44"/>
      <c r="K30" s="46"/>
      <c r="L30" s="44"/>
      <c r="M30" s="48"/>
    </row>
    <row r="31" spans="4:13" x14ac:dyDescent="0.35">
      <c r="D31" s="44"/>
      <c r="E31" s="44"/>
      <c r="F31" s="46"/>
      <c r="G31" s="46"/>
      <c r="H31" s="46"/>
      <c r="I31" s="46"/>
      <c r="J31" s="44"/>
      <c r="K31" s="46"/>
      <c r="L31" s="44"/>
      <c r="M31" s="48"/>
    </row>
    <row r="32" spans="4:13" x14ac:dyDescent="0.35">
      <c r="D32" s="54" t="s">
        <v>89</v>
      </c>
      <c r="E32" s="54"/>
      <c r="F32" s="55"/>
      <c r="G32" s="46"/>
      <c r="H32" s="46"/>
      <c r="I32" s="46"/>
      <c r="J32" s="44"/>
      <c r="K32" s="46"/>
      <c r="L32" s="44"/>
      <c r="M32" s="48"/>
    </row>
    <row r="33" spans="2:13" x14ac:dyDescent="0.35">
      <c r="D33" s="44" t="s">
        <v>8</v>
      </c>
      <c r="E33" s="44">
        <v>0.47</v>
      </c>
      <c r="F33" s="56" t="s">
        <v>92</v>
      </c>
      <c r="G33" s="46"/>
      <c r="H33" s="46"/>
      <c r="I33" s="46"/>
      <c r="J33" s="44"/>
      <c r="K33" s="46"/>
      <c r="L33" s="44"/>
      <c r="M33" s="48"/>
    </row>
    <row r="34" spans="2:13" x14ac:dyDescent="0.35">
      <c r="D34" s="44" t="s">
        <v>17</v>
      </c>
      <c r="E34" s="44">
        <v>0.05</v>
      </c>
      <c r="F34" s="56" t="s">
        <v>92</v>
      </c>
      <c r="G34" s="46"/>
      <c r="H34" s="46"/>
      <c r="I34" s="46"/>
      <c r="J34" s="44"/>
      <c r="K34" s="46"/>
      <c r="L34" s="44"/>
      <c r="M34" s="48"/>
    </row>
    <row r="35" spans="2:13" x14ac:dyDescent="0.35">
      <c r="D35" s="44" t="s">
        <v>20</v>
      </c>
      <c r="E35" s="44">
        <v>0.05</v>
      </c>
      <c r="F35" s="56" t="s">
        <v>92</v>
      </c>
      <c r="G35" s="46"/>
      <c r="H35" s="46"/>
      <c r="I35" s="46"/>
      <c r="J35" s="44"/>
      <c r="K35" s="46"/>
      <c r="L35" s="44"/>
      <c r="M35" s="48"/>
    </row>
    <row r="36" spans="2:13" x14ac:dyDescent="0.35">
      <c r="D36" s="57" t="s">
        <v>91</v>
      </c>
      <c r="E36" s="58">
        <f>(E33+E34+E35)/3</f>
        <v>0.19000000000000003</v>
      </c>
      <c r="F36" s="59" t="s">
        <v>92</v>
      </c>
    </row>
    <row r="38" spans="2:13" x14ac:dyDescent="0.35">
      <c r="B38" s="1" t="s">
        <v>115</v>
      </c>
      <c r="C38" s="1"/>
      <c r="D38" s="1"/>
      <c r="E38" s="1"/>
      <c r="F38" s="1"/>
      <c r="G38" s="1"/>
      <c r="H38" s="1"/>
      <c r="I38" s="1"/>
    </row>
    <row r="39" spans="2:13" x14ac:dyDescent="0.35">
      <c r="B39" s="2" t="s">
        <v>2</v>
      </c>
      <c r="C39" s="2" t="s">
        <v>3</v>
      </c>
      <c r="D39" s="2" t="s">
        <v>4</v>
      </c>
    </row>
    <row r="41" spans="2:13" x14ac:dyDescent="0.35">
      <c r="C41" s="2" t="s">
        <v>5</v>
      </c>
      <c r="D41" s="2"/>
      <c r="E41" s="2"/>
      <c r="F41" s="2"/>
      <c r="G41" s="2" t="s">
        <v>6</v>
      </c>
      <c r="H41" s="2" t="s">
        <v>84</v>
      </c>
    </row>
    <row r="43" spans="2:13" x14ac:dyDescent="0.35">
      <c r="B43" s="10" t="s">
        <v>116</v>
      </c>
      <c r="C43" s="10"/>
      <c r="D43" s="33" t="s">
        <v>8</v>
      </c>
      <c r="E43" s="34">
        <v>2.5180000000000001E-2</v>
      </c>
      <c r="F43" s="35" t="s">
        <v>9</v>
      </c>
      <c r="G43" s="113" t="s">
        <v>86</v>
      </c>
      <c r="H43" s="113">
        <f>'Material - Abmessungen'!E15</f>
        <v>6.7149562500000002</v>
      </c>
      <c r="I43" s="113" t="s">
        <v>12</v>
      </c>
      <c r="J43" s="44"/>
      <c r="K43" s="50"/>
      <c r="L43" s="44"/>
      <c r="M43" s="44"/>
    </row>
    <row r="44" spans="2:13" x14ac:dyDescent="0.35">
      <c r="B44" s="10" t="s">
        <v>117</v>
      </c>
      <c r="C44" s="15"/>
      <c r="D44" s="33" t="s">
        <v>17</v>
      </c>
      <c r="E44" s="37">
        <v>2.511E-2</v>
      </c>
      <c r="F44" s="38" t="s">
        <v>9</v>
      </c>
      <c r="G44" s="113" t="s">
        <v>86</v>
      </c>
      <c r="H44" s="113">
        <f>'Material - Abmessungen'!E15</f>
        <v>6.7149562500000002</v>
      </c>
      <c r="I44" s="113" t="s">
        <v>12</v>
      </c>
      <c r="J44" s="44"/>
      <c r="K44" s="50"/>
      <c r="L44" s="44"/>
      <c r="M44" s="44"/>
    </row>
    <row r="45" spans="2:13" x14ac:dyDescent="0.35">
      <c r="B45" s="10" t="s">
        <v>118</v>
      </c>
      <c r="C45" s="15"/>
      <c r="D45" s="36" t="s">
        <v>20</v>
      </c>
      <c r="E45" s="37">
        <v>2.5059999999999999E-2</v>
      </c>
      <c r="F45" s="38" t="s">
        <v>9</v>
      </c>
      <c r="G45" s="113" t="s">
        <v>86</v>
      </c>
      <c r="H45" s="113">
        <f>'Material - Abmessungen'!E15</f>
        <v>6.7149562500000002</v>
      </c>
      <c r="I45" s="113" t="s">
        <v>12</v>
      </c>
      <c r="J45" s="44"/>
      <c r="K45" s="50"/>
      <c r="L45" s="44"/>
      <c r="M45" s="44"/>
    </row>
    <row r="47" spans="2:13" x14ac:dyDescent="0.35">
      <c r="D47" s="14" t="s">
        <v>31</v>
      </c>
      <c r="E47" s="14"/>
      <c r="F47" s="14"/>
      <c r="G47" s="14"/>
      <c r="H47" s="14"/>
      <c r="I47" s="44"/>
      <c r="J47" s="44"/>
      <c r="K47" s="44"/>
    </row>
    <row r="48" spans="2:13" x14ac:dyDescent="0.35">
      <c r="F48" t="s">
        <v>32</v>
      </c>
      <c r="G48" t="s">
        <v>33</v>
      </c>
      <c r="H48" t="s">
        <v>34</v>
      </c>
      <c r="I48" s="44"/>
      <c r="J48" s="44"/>
    </row>
    <row r="49" spans="4:13" x14ac:dyDescent="0.35">
      <c r="D49" s="10" t="s">
        <v>38</v>
      </c>
      <c r="E49" s="10"/>
      <c r="F49" s="10">
        <v>6.7149999999999999</v>
      </c>
      <c r="G49" s="10">
        <v>6.7149999999999999</v>
      </c>
      <c r="H49" s="10">
        <v>6.7149999999999999</v>
      </c>
      <c r="I49" s="44"/>
      <c r="J49" s="44"/>
    </row>
    <row r="50" spans="4:13" x14ac:dyDescent="0.35">
      <c r="D50" s="11" t="s">
        <v>39</v>
      </c>
      <c r="E50" s="11"/>
      <c r="F50" s="11">
        <v>0</v>
      </c>
      <c r="G50" s="11">
        <v>0</v>
      </c>
      <c r="H50" s="11">
        <v>0</v>
      </c>
      <c r="I50" s="44"/>
      <c r="J50" s="44"/>
    </row>
    <row r="51" spans="4:13" x14ac:dyDescent="0.35">
      <c r="D51" s="11" t="s">
        <v>40</v>
      </c>
      <c r="E51" s="11"/>
      <c r="F51" s="11">
        <v>7.9409999999999998</v>
      </c>
      <c r="G51" s="11">
        <v>7.9829999999999997</v>
      </c>
      <c r="H51" s="11">
        <v>7.9349999999999996</v>
      </c>
      <c r="I51" s="44"/>
      <c r="J51" s="44"/>
      <c r="M51" t="s">
        <v>41</v>
      </c>
    </row>
    <row r="52" spans="4:13" x14ac:dyDescent="0.35">
      <c r="D52" t="s">
        <v>42</v>
      </c>
      <c r="F52" s="12">
        <f>F51/(F49+F50)</f>
        <v>1.1825763216679077</v>
      </c>
      <c r="G52" s="12">
        <f t="shared" ref="G52:H52" si="2">G51/(G49+G50)</f>
        <v>1.1888309754281459</v>
      </c>
      <c r="H52" s="12">
        <f t="shared" si="2"/>
        <v>1.1816827997021593</v>
      </c>
      <c r="I52" s="46"/>
      <c r="J52" s="44" t="s">
        <v>43</v>
      </c>
      <c r="K52" s="13">
        <f>(F52+G52+H52)/3</f>
        <v>1.1843633655994044</v>
      </c>
      <c r="M52" s="39">
        <f>_xlfn.STDEV.S(F52,G52,H52)</f>
        <v>3.8947719525307253E-3</v>
      </c>
    </row>
    <row r="53" spans="4:13" x14ac:dyDescent="0.35">
      <c r="I53" s="44"/>
      <c r="J53" s="44"/>
    </row>
    <row r="54" spans="4:13" x14ac:dyDescent="0.35">
      <c r="D54" s="10" t="s">
        <v>44</v>
      </c>
      <c r="E54" s="10"/>
      <c r="F54" s="10">
        <v>6.7149999999999999</v>
      </c>
      <c r="G54" s="10">
        <v>6.7149999999999999</v>
      </c>
      <c r="H54" s="10">
        <v>6.7149999999999999</v>
      </c>
      <c r="I54" s="44"/>
      <c r="J54" s="44"/>
    </row>
    <row r="55" spans="4:13" x14ac:dyDescent="0.35">
      <c r="D55" s="11" t="s">
        <v>45</v>
      </c>
      <c r="E55" s="11"/>
      <c r="F55" s="11">
        <v>0</v>
      </c>
      <c r="G55" s="11">
        <v>0</v>
      </c>
      <c r="H55" s="11">
        <v>0</v>
      </c>
      <c r="I55" s="44"/>
      <c r="J55" s="44"/>
    </row>
    <row r="56" spans="4:13" x14ac:dyDescent="0.35">
      <c r="D56" s="11" t="s">
        <v>46</v>
      </c>
      <c r="E56" s="11"/>
      <c r="F56" s="11">
        <v>6.64</v>
      </c>
      <c r="G56" s="11">
        <v>6.6420000000000003</v>
      </c>
      <c r="H56" s="11">
        <v>6.64</v>
      </c>
      <c r="I56" s="44"/>
      <c r="J56" s="44"/>
      <c r="M56" t="s">
        <v>41</v>
      </c>
    </row>
    <row r="57" spans="4:13" x14ac:dyDescent="0.35">
      <c r="D57" t="s">
        <v>42</v>
      </c>
      <c r="F57" s="12">
        <f>F56/(F54+F55)</f>
        <v>0.98883097542814591</v>
      </c>
      <c r="G57" s="12">
        <f t="shared" ref="G57:H57" si="3">G56/(G54+G55)</f>
        <v>0.98912881608339542</v>
      </c>
      <c r="H57" s="12">
        <f t="shared" si="3"/>
        <v>0.98883097542814591</v>
      </c>
      <c r="I57" s="47"/>
      <c r="J57" s="53" t="s">
        <v>43</v>
      </c>
      <c r="K57" s="13">
        <f>(F57+G57+H57)/3</f>
        <v>0.98893025564656245</v>
      </c>
      <c r="M57" s="39">
        <f>_xlfn.STDEV.S(F57,G57,H57)</f>
        <v>1.71958382483922E-4</v>
      </c>
    </row>
    <row r="58" spans="4:13" x14ac:dyDescent="0.35">
      <c r="D58" s="44"/>
      <c r="E58" s="44"/>
      <c r="F58" s="46"/>
      <c r="G58" s="46"/>
      <c r="H58" s="46"/>
      <c r="I58" s="46"/>
      <c r="J58" s="44"/>
      <c r="K58" s="46"/>
      <c r="L58" s="44"/>
      <c r="M58" s="48"/>
    </row>
    <row r="59" spans="4:13" x14ac:dyDescent="0.35">
      <c r="D59" s="54" t="s">
        <v>89</v>
      </c>
      <c r="E59" s="54"/>
      <c r="F59" s="55"/>
      <c r="G59" s="46"/>
      <c r="H59" s="46"/>
      <c r="I59" s="46"/>
      <c r="J59" s="44"/>
      <c r="K59" s="46"/>
      <c r="L59" s="44"/>
      <c r="M59" s="48"/>
    </row>
    <row r="60" spans="4:13" x14ac:dyDescent="0.35">
      <c r="D60" s="44" t="s">
        <v>8</v>
      </c>
      <c r="E60" s="44">
        <v>-0.252</v>
      </c>
      <c r="F60" s="56" t="s">
        <v>90</v>
      </c>
      <c r="G60" s="46"/>
      <c r="H60" s="46"/>
      <c r="I60" s="46"/>
      <c r="J60" s="44"/>
      <c r="K60" s="46"/>
      <c r="L60" s="44"/>
      <c r="M60" s="48"/>
    </row>
    <row r="61" spans="4:13" x14ac:dyDescent="0.35">
      <c r="D61" s="44" t="s">
        <v>17</v>
      </c>
      <c r="E61" s="44">
        <v>-8.2299999999999998E-2</v>
      </c>
      <c r="F61" s="56" t="s">
        <v>90</v>
      </c>
      <c r="G61" s="46"/>
      <c r="H61" s="46"/>
      <c r="I61" s="46"/>
      <c r="J61" s="44"/>
      <c r="K61" s="46"/>
      <c r="L61" s="44"/>
      <c r="M61" s="48"/>
    </row>
    <row r="62" spans="4:13" x14ac:dyDescent="0.35">
      <c r="D62" s="44" t="s">
        <v>20</v>
      </c>
      <c r="E62" s="44">
        <v>-0.1671</v>
      </c>
      <c r="F62" s="56" t="s">
        <v>90</v>
      </c>
      <c r="G62" s="46"/>
      <c r="H62" s="46"/>
      <c r="I62" s="46"/>
      <c r="J62" s="44"/>
      <c r="K62" s="46"/>
      <c r="L62" s="44"/>
      <c r="M62" s="48"/>
    </row>
    <row r="63" spans="4:13" x14ac:dyDescent="0.35">
      <c r="D63" s="60" t="s">
        <v>91</v>
      </c>
      <c r="E63" s="62">
        <f>(E60+E61+E62)/3</f>
        <v>-0.16713333333333333</v>
      </c>
      <c r="F63" s="61" t="s">
        <v>90</v>
      </c>
      <c r="G63" s="46"/>
      <c r="H63" s="46"/>
      <c r="I63" s="46"/>
      <c r="J63" s="44"/>
      <c r="K63" s="46"/>
      <c r="L63" s="44"/>
      <c r="M63" s="48"/>
    </row>
    <row r="64" spans="4:13" x14ac:dyDescent="0.35">
      <c r="D64" s="44"/>
      <c r="E64" s="44"/>
      <c r="F64" s="46"/>
      <c r="G64" s="46"/>
      <c r="H64" s="46"/>
      <c r="I64" s="46"/>
      <c r="J64" s="44"/>
      <c r="K64" s="46"/>
      <c r="L64" s="44"/>
      <c r="M64" s="48"/>
    </row>
    <row r="65" spans="2:13" x14ac:dyDescent="0.35">
      <c r="D65" s="54" t="s">
        <v>89</v>
      </c>
      <c r="E65" s="54"/>
      <c r="F65" s="55"/>
      <c r="G65" s="46"/>
      <c r="H65" s="46"/>
      <c r="I65" s="46"/>
      <c r="J65" s="44"/>
      <c r="K65" s="46"/>
      <c r="L65" s="44"/>
      <c r="M65" s="48"/>
    </row>
    <row r="66" spans="2:13" x14ac:dyDescent="0.35">
      <c r="D66" s="44" t="s">
        <v>8</v>
      </c>
      <c r="E66" s="44">
        <v>0.02</v>
      </c>
      <c r="F66" s="56" t="s">
        <v>92</v>
      </c>
      <c r="G66" s="46"/>
      <c r="H66" s="46"/>
      <c r="I66" s="46"/>
      <c r="J66" s="44"/>
      <c r="K66" s="46"/>
      <c r="L66" s="44"/>
      <c r="M66" s="48"/>
    </row>
    <row r="67" spans="2:13" x14ac:dyDescent="0.35">
      <c r="D67" s="44" t="s">
        <v>17</v>
      </c>
      <c r="E67" s="44">
        <v>0.34</v>
      </c>
      <c r="F67" s="56" t="s">
        <v>92</v>
      </c>
      <c r="G67" s="46"/>
      <c r="H67" s="46"/>
      <c r="I67" s="46"/>
      <c r="J67" s="44"/>
      <c r="K67" s="46"/>
      <c r="L67" s="44"/>
      <c r="M67" s="48"/>
    </row>
    <row r="68" spans="2:13" x14ac:dyDescent="0.35">
      <c r="D68" s="44" t="s">
        <v>20</v>
      </c>
      <c r="E68" s="44">
        <v>0.02</v>
      </c>
      <c r="F68" s="56" t="s">
        <v>92</v>
      </c>
      <c r="G68" s="46"/>
      <c r="H68" s="46"/>
      <c r="I68" s="46"/>
      <c r="J68" s="44"/>
      <c r="K68" s="46"/>
      <c r="L68" s="44"/>
      <c r="M68" s="48"/>
    </row>
    <row r="69" spans="2:13" x14ac:dyDescent="0.35">
      <c r="D69" s="57" t="s">
        <v>91</v>
      </c>
      <c r="E69" s="58">
        <f>(E66+E67+E68)/3</f>
        <v>0.12666666666666668</v>
      </c>
      <c r="F69" s="59" t="s">
        <v>92</v>
      </c>
      <c r="G69" s="46"/>
      <c r="H69" s="46"/>
      <c r="I69" s="46"/>
      <c r="J69" s="44"/>
      <c r="K69" s="46"/>
      <c r="L69" s="44"/>
      <c r="M69" s="48"/>
    </row>
    <row r="70" spans="2:13" x14ac:dyDescent="0.35">
      <c r="D70" s="44"/>
      <c r="E70" s="44"/>
      <c r="F70" s="46"/>
      <c r="G70" s="46"/>
      <c r="H70" s="46"/>
      <c r="I70" s="46"/>
      <c r="J70" s="44"/>
      <c r="K70" s="46"/>
      <c r="L70" s="44"/>
      <c r="M70" s="48"/>
    </row>
    <row r="71" spans="2:13" x14ac:dyDescent="0.35">
      <c r="B71" s="1" t="s">
        <v>119</v>
      </c>
      <c r="C71" s="1"/>
      <c r="D71" s="1"/>
      <c r="E71" s="1"/>
      <c r="F71" s="1"/>
      <c r="G71" s="1"/>
      <c r="H71" s="1"/>
      <c r="I71" s="1"/>
    </row>
    <row r="72" spans="2:13" x14ac:dyDescent="0.35">
      <c r="B72" s="2" t="s">
        <v>2</v>
      </c>
      <c r="C72" s="2" t="s">
        <v>3</v>
      </c>
      <c r="D72" s="2" t="s">
        <v>4</v>
      </c>
    </row>
    <row r="74" spans="2:13" x14ac:dyDescent="0.35">
      <c r="C74" s="2" t="s">
        <v>5</v>
      </c>
      <c r="D74" s="2"/>
      <c r="E74" s="2"/>
      <c r="F74" s="2"/>
      <c r="G74" s="2" t="s">
        <v>6</v>
      </c>
      <c r="H74" s="2" t="s">
        <v>84</v>
      </c>
    </row>
    <row r="76" spans="2:13" x14ac:dyDescent="0.35">
      <c r="B76" s="10" t="s">
        <v>120</v>
      </c>
      <c r="C76" s="10"/>
      <c r="D76" s="33" t="s">
        <v>8</v>
      </c>
      <c r="E76" s="34">
        <v>2.513E-2</v>
      </c>
      <c r="F76" s="35" t="s">
        <v>9</v>
      </c>
      <c r="G76" s="113" t="s">
        <v>86</v>
      </c>
      <c r="H76" s="113">
        <f>'Material - Abmessungen'!E15</f>
        <v>6.7149562500000002</v>
      </c>
      <c r="I76" s="113" t="s">
        <v>12</v>
      </c>
      <c r="J76" s="44"/>
      <c r="K76" s="50"/>
      <c r="L76" s="44"/>
      <c r="M76" s="44"/>
    </row>
    <row r="77" spans="2:13" x14ac:dyDescent="0.35">
      <c r="B77" s="10" t="s">
        <v>121</v>
      </c>
      <c r="C77" s="15"/>
      <c r="D77" s="33" t="s">
        <v>17</v>
      </c>
      <c r="E77" s="37">
        <v>2.53E-2</v>
      </c>
      <c r="F77" s="38" t="s">
        <v>9</v>
      </c>
      <c r="G77" s="113" t="s">
        <v>86</v>
      </c>
      <c r="H77" s="113">
        <f>'Material - Abmessungen'!E15</f>
        <v>6.7149562500000002</v>
      </c>
      <c r="I77" s="113" t="s">
        <v>12</v>
      </c>
      <c r="J77" s="44"/>
      <c r="K77" s="50"/>
      <c r="L77" s="44"/>
      <c r="M77" s="44"/>
    </row>
    <row r="78" spans="2:13" x14ac:dyDescent="0.35">
      <c r="B78" s="81" t="s">
        <v>122</v>
      </c>
      <c r="C78" s="82"/>
      <c r="D78" s="86" t="s">
        <v>20</v>
      </c>
      <c r="E78" s="84">
        <v>2.5149999999999999E-2</v>
      </c>
      <c r="F78" s="85" t="s">
        <v>9</v>
      </c>
      <c r="G78" s="63" t="s">
        <v>123</v>
      </c>
      <c r="H78" s="87"/>
      <c r="I78" s="63"/>
      <c r="J78" s="63"/>
      <c r="K78" s="105"/>
      <c r="L78" s="63"/>
      <c r="M78" s="63"/>
    </row>
    <row r="80" spans="2:13" x14ac:dyDescent="0.35">
      <c r="D80" s="14" t="s">
        <v>31</v>
      </c>
      <c r="E80" s="14"/>
      <c r="F80" s="14"/>
      <c r="G80" s="14"/>
      <c r="H80" s="14"/>
      <c r="I80" s="44"/>
      <c r="J80" s="44"/>
      <c r="K80" s="43"/>
    </row>
    <row r="81" spans="4:13" x14ac:dyDescent="0.35">
      <c r="F81" t="s">
        <v>32</v>
      </c>
      <c r="G81" t="s">
        <v>33</v>
      </c>
      <c r="H81" s="91" t="s">
        <v>34</v>
      </c>
      <c r="I81" s="44"/>
      <c r="J81" s="44"/>
    </row>
    <row r="82" spans="4:13" x14ac:dyDescent="0.35">
      <c r="D82" s="10" t="s">
        <v>38</v>
      </c>
      <c r="E82" s="10"/>
      <c r="F82" s="10">
        <v>6.7149999999999999</v>
      </c>
      <c r="G82" s="10">
        <v>6.7149999999999999</v>
      </c>
      <c r="H82" s="81">
        <v>6.7149999999999999</v>
      </c>
      <c r="I82" s="44"/>
      <c r="J82" s="44"/>
    </row>
    <row r="83" spans="4:13" x14ac:dyDescent="0.35">
      <c r="D83" s="11" t="s">
        <v>39</v>
      </c>
      <c r="E83" s="11"/>
      <c r="F83" s="11">
        <v>0</v>
      </c>
      <c r="G83" s="11">
        <v>0</v>
      </c>
      <c r="H83" s="85">
        <v>0</v>
      </c>
      <c r="I83" s="44"/>
      <c r="J83" s="44"/>
    </row>
    <row r="84" spans="4:13" x14ac:dyDescent="0.35">
      <c r="D84" s="11" t="s">
        <v>40</v>
      </c>
      <c r="E84" s="11"/>
      <c r="F84" s="11">
        <v>7.9409999999999998</v>
      </c>
      <c r="G84" s="11">
        <v>7.8049999999999997</v>
      </c>
      <c r="H84" s="85">
        <v>7.8380000000000001</v>
      </c>
      <c r="I84" s="44"/>
      <c r="J84" s="44"/>
      <c r="M84" t="s">
        <v>41</v>
      </c>
    </row>
    <row r="85" spans="4:13" x14ac:dyDescent="0.35">
      <c r="D85" t="s">
        <v>42</v>
      </c>
      <c r="F85" s="12">
        <f>F84/(F82+F83)</f>
        <v>1.1825763216679077</v>
      </c>
      <c r="G85" s="12">
        <f t="shared" ref="G85:H85" si="4">G84/(G82+G83)</f>
        <v>1.1623231571109456</v>
      </c>
      <c r="H85" s="92">
        <f t="shared" si="4"/>
        <v>1.1672375279225615</v>
      </c>
      <c r="I85" s="46"/>
      <c r="J85" s="44" t="s">
        <v>43</v>
      </c>
      <c r="K85" s="13">
        <f>(F85+G85)/2</f>
        <v>1.1724497393894266</v>
      </c>
      <c r="M85" s="39">
        <f>_xlfn.STDEV.S(F85,G85)</f>
        <v>1.4321149998714963E-2</v>
      </c>
    </row>
    <row r="86" spans="4:13" x14ac:dyDescent="0.35">
      <c r="H86" s="91"/>
      <c r="I86" s="44"/>
      <c r="J86" s="44"/>
    </row>
    <row r="87" spans="4:13" x14ac:dyDescent="0.35">
      <c r="D87" s="10" t="s">
        <v>44</v>
      </c>
      <c r="E87" s="10"/>
      <c r="F87" s="10">
        <v>6.7149999999999999</v>
      </c>
      <c r="G87" s="10">
        <v>6.7149999999999999</v>
      </c>
      <c r="H87" s="81">
        <v>6.7149999999999999</v>
      </c>
      <c r="I87" s="44"/>
      <c r="J87" s="44"/>
    </row>
    <row r="88" spans="4:13" x14ac:dyDescent="0.35">
      <c r="D88" s="11" t="s">
        <v>45</v>
      </c>
      <c r="E88" s="11"/>
      <c r="F88" s="11">
        <v>0</v>
      </c>
      <c r="G88" s="11">
        <v>0</v>
      </c>
      <c r="H88" s="85">
        <v>0</v>
      </c>
      <c r="I88" s="44"/>
      <c r="J88" s="44"/>
    </row>
    <row r="89" spans="4:13" x14ac:dyDescent="0.35">
      <c r="D89" s="11" t="s">
        <v>46</v>
      </c>
      <c r="E89" s="11"/>
      <c r="F89" s="11">
        <v>6.649</v>
      </c>
      <c r="G89" s="11">
        <v>6.6449999999999996</v>
      </c>
      <c r="H89" s="85">
        <v>6.6470000000000002</v>
      </c>
      <c r="I89" s="44"/>
      <c r="J89" s="44"/>
      <c r="M89" t="s">
        <v>41</v>
      </c>
    </row>
    <row r="90" spans="4:13" x14ac:dyDescent="0.35">
      <c r="D90" t="s">
        <v>42</v>
      </c>
      <c r="F90" s="12">
        <f>F89/(F87+F88)</f>
        <v>0.99017125837676845</v>
      </c>
      <c r="G90" s="12">
        <f t="shared" ref="G90:H90" si="5">G89/(G87+G88)</f>
        <v>0.98957557706626953</v>
      </c>
      <c r="H90" s="92">
        <f t="shared" si="5"/>
        <v>0.98987341772151904</v>
      </c>
      <c r="I90" s="47"/>
      <c r="J90" s="53" t="s">
        <v>43</v>
      </c>
      <c r="K90" s="13">
        <f>(F90+G90)/2</f>
        <v>0.98987341772151893</v>
      </c>
      <c r="M90" s="39">
        <f>_xlfn.STDEV.S(F90,G90)</f>
        <v>4.2121029407987491E-4</v>
      </c>
    </row>
    <row r="91" spans="4:13" x14ac:dyDescent="0.35">
      <c r="D91" s="44"/>
      <c r="E91" s="44"/>
      <c r="F91" s="46"/>
      <c r="G91" s="46"/>
      <c r="H91" s="46"/>
      <c r="I91" s="46"/>
      <c r="J91" s="44"/>
      <c r="K91" s="46"/>
      <c r="L91" s="44"/>
      <c r="M91" s="48"/>
    </row>
    <row r="92" spans="4:13" x14ac:dyDescent="0.35">
      <c r="D92" s="54" t="s">
        <v>89</v>
      </c>
      <c r="E92" s="54"/>
      <c r="F92" s="55"/>
      <c r="G92" s="46"/>
      <c r="H92" s="46"/>
      <c r="I92" s="46"/>
      <c r="J92" s="44"/>
      <c r="K92" s="46"/>
      <c r="L92" s="44"/>
      <c r="M92" s="48"/>
    </row>
    <row r="93" spans="4:13" x14ac:dyDescent="0.35">
      <c r="D93" s="44" t="s">
        <v>8</v>
      </c>
      <c r="E93" s="44">
        <v>-0.28129999999999999</v>
      </c>
      <c r="F93" s="56" t="s">
        <v>90</v>
      </c>
      <c r="G93" s="46"/>
      <c r="H93" s="46"/>
      <c r="I93" s="46"/>
      <c r="J93" s="44"/>
      <c r="K93" s="46"/>
      <c r="L93" s="44"/>
      <c r="M93" s="48"/>
    </row>
    <row r="94" spans="4:13" x14ac:dyDescent="0.35">
      <c r="D94" s="44" t="s">
        <v>17</v>
      </c>
      <c r="E94" s="44">
        <v>-0.2301</v>
      </c>
      <c r="F94" s="56" t="s">
        <v>90</v>
      </c>
      <c r="G94" s="46"/>
      <c r="H94" s="46"/>
      <c r="I94" s="46"/>
      <c r="J94" s="44"/>
      <c r="K94" s="46"/>
      <c r="L94" s="44"/>
      <c r="M94" s="48"/>
    </row>
    <row r="95" spans="4:13" x14ac:dyDescent="0.35">
      <c r="D95" s="63" t="s">
        <v>20</v>
      </c>
      <c r="E95" s="63">
        <v>-0.27629999999999999</v>
      </c>
      <c r="F95" s="64" t="s">
        <v>90</v>
      </c>
      <c r="G95" s="46"/>
      <c r="H95" s="46"/>
      <c r="I95" s="46"/>
      <c r="J95" s="44"/>
      <c r="K95" s="46"/>
      <c r="L95" s="44"/>
      <c r="M95" s="48"/>
    </row>
    <row r="96" spans="4:13" x14ac:dyDescent="0.35">
      <c r="D96" s="60" t="s">
        <v>91</v>
      </c>
      <c r="E96" s="62">
        <f>(E93+E94)/2</f>
        <v>-0.25569999999999998</v>
      </c>
      <c r="F96" s="61" t="s">
        <v>90</v>
      </c>
      <c r="G96" s="46"/>
      <c r="H96" s="46"/>
      <c r="I96" s="46"/>
      <c r="J96" s="44"/>
      <c r="K96" s="46"/>
      <c r="L96" s="44"/>
      <c r="M96" s="48"/>
    </row>
    <row r="97" spans="2:13" x14ac:dyDescent="0.35">
      <c r="D97" s="44"/>
      <c r="E97" s="44"/>
      <c r="F97" s="46"/>
      <c r="G97" s="46"/>
      <c r="H97" s="46"/>
      <c r="I97" s="46"/>
      <c r="J97" s="44"/>
      <c r="K97" s="46"/>
      <c r="L97" s="44"/>
      <c r="M97" s="48"/>
    </row>
    <row r="98" spans="2:13" x14ac:dyDescent="0.35">
      <c r="D98" s="54" t="s">
        <v>89</v>
      </c>
      <c r="E98" s="54"/>
      <c r="F98" s="55"/>
      <c r="G98" s="46"/>
      <c r="H98" s="46"/>
      <c r="I98" s="46"/>
      <c r="J98" s="44"/>
      <c r="K98" s="46"/>
      <c r="L98" s="44"/>
      <c r="M98" s="48"/>
    </row>
    <row r="99" spans="2:13" x14ac:dyDescent="0.35">
      <c r="D99" s="44" t="s">
        <v>8</v>
      </c>
      <c r="E99" s="44">
        <v>0.03</v>
      </c>
      <c r="F99" s="56" t="s">
        <v>92</v>
      </c>
      <c r="G99" s="46"/>
      <c r="H99" s="46"/>
      <c r="I99" s="46"/>
      <c r="J99" s="44"/>
      <c r="K99" s="46"/>
      <c r="L99" s="44"/>
      <c r="M99" s="48"/>
    </row>
    <row r="100" spans="2:13" x14ac:dyDescent="0.35">
      <c r="D100" s="44" t="s">
        <v>17</v>
      </c>
      <c r="E100" s="44">
        <v>0.36</v>
      </c>
      <c r="F100" s="56" t="s">
        <v>92</v>
      </c>
      <c r="G100" s="46"/>
      <c r="H100" s="46"/>
      <c r="I100" s="46"/>
      <c r="J100" s="44"/>
      <c r="K100" s="46"/>
      <c r="L100" s="44"/>
      <c r="M100" s="48"/>
    </row>
    <row r="101" spans="2:13" x14ac:dyDescent="0.35">
      <c r="D101" s="63" t="s">
        <v>20</v>
      </c>
      <c r="E101" s="63">
        <v>10</v>
      </c>
      <c r="F101" s="64" t="s">
        <v>92</v>
      </c>
      <c r="G101" s="46"/>
      <c r="H101" s="46"/>
      <c r="I101" s="46"/>
      <c r="J101" s="44"/>
      <c r="K101" s="46"/>
      <c r="L101" s="44"/>
      <c r="M101" s="48"/>
    </row>
    <row r="102" spans="2:13" x14ac:dyDescent="0.35">
      <c r="D102" s="57" t="s">
        <v>91</v>
      </c>
      <c r="E102" s="58">
        <f>(E99+E100)/2</f>
        <v>0.19500000000000001</v>
      </c>
      <c r="F102" s="59" t="s">
        <v>92</v>
      </c>
      <c r="G102" s="46"/>
      <c r="H102" s="46"/>
      <c r="I102" s="46"/>
      <c r="J102" s="44"/>
      <c r="K102" s="46"/>
      <c r="L102" s="44"/>
      <c r="M102" s="48"/>
    </row>
    <row r="103" spans="2:13" x14ac:dyDescent="0.35">
      <c r="D103" s="44"/>
      <c r="E103" s="44"/>
      <c r="F103" s="46"/>
      <c r="G103" s="46"/>
      <c r="H103" s="46"/>
      <c r="I103" s="46"/>
      <c r="J103" s="44"/>
      <c r="K103" s="46"/>
      <c r="L103" s="44"/>
      <c r="M103" s="48"/>
    </row>
    <row r="104" spans="2:13" x14ac:dyDescent="0.35">
      <c r="B104" s="1" t="s">
        <v>124</v>
      </c>
      <c r="C104" s="1"/>
      <c r="D104" s="1"/>
      <c r="E104" s="1"/>
      <c r="F104" s="1"/>
      <c r="G104" s="1"/>
      <c r="H104" s="1"/>
      <c r="I104" s="1"/>
    </row>
    <row r="105" spans="2:13" x14ac:dyDescent="0.35">
      <c r="B105" s="2" t="s">
        <v>2</v>
      </c>
      <c r="C105" s="2" t="s">
        <v>3</v>
      </c>
      <c r="D105" s="2" t="s">
        <v>4</v>
      </c>
    </row>
    <row r="107" spans="2:13" x14ac:dyDescent="0.35">
      <c r="C107" s="2" t="s">
        <v>5</v>
      </c>
      <c r="D107" s="2"/>
      <c r="E107" s="2"/>
      <c r="F107" s="2"/>
      <c r="G107" s="2" t="s">
        <v>6</v>
      </c>
      <c r="H107" s="2" t="s">
        <v>84</v>
      </c>
    </row>
    <row r="109" spans="2:13" x14ac:dyDescent="0.35">
      <c r="B109" s="10" t="s">
        <v>125</v>
      </c>
      <c r="C109" s="10"/>
      <c r="D109" s="33" t="s">
        <v>8</v>
      </c>
      <c r="E109" s="34">
        <v>2.5239999999999999E-2</v>
      </c>
      <c r="F109" s="35" t="s">
        <v>9</v>
      </c>
      <c r="G109" s="113" t="s">
        <v>86</v>
      </c>
      <c r="H109" s="113">
        <f>'Material - Abmessungen'!E15</f>
        <v>6.7149562500000002</v>
      </c>
      <c r="I109" s="113" t="s">
        <v>12</v>
      </c>
      <c r="J109" s="44"/>
      <c r="K109" s="50"/>
      <c r="L109" s="44"/>
      <c r="M109" s="44"/>
    </row>
    <row r="110" spans="2:13" x14ac:dyDescent="0.35">
      <c r="B110" s="81" t="s">
        <v>126</v>
      </c>
      <c r="C110" s="82"/>
      <c r="D110" s="83" t="s">
        <v>17</v>
      </c>
      <c r="E110" s="84">
        <v>2.5149999999999999E-2</v>
      </c>
      <c r="F110" s="85" t="s">
        <v>9</v>
      </c>
      <c r="G110" s="63" t="s">
        <v>123</v>
      </c>
      <c r="H110" s="87"/>
      <c r="I110" s="63"/>
      <c r="J110" s="63"/>
      <c r="K110" s="105"/>
      <c r="L110" s="63"/>
      <c r="M110" s="63"/>
    </row>
    <row r="111" spans="2:13" x14ac:dyDescent="0.35">
      <c r="B111" s="10" t="s">
        <v>127</v>
      </c>
      <c r="C111" s="15"/>
      <c r="D111" s="36" t="s">
        <v>20</v>
      </c>
      <c r="E111" s="37">
        <v>2.529E-2</v>
      </c>
      <c r="F111" s="38" t="s">
        <v>9</v>
      </c>
      <c r="G111" s="113" t="s">
        <v>86</v>
      </c>
      <c r="H111" s="113">
        <f>'Material - Abmessungen'!E15</f>
        <v>6.7149562500000002</v>
      </c>
      <c r="I111" s="113" t="s">
        <v>12</v>
      </c>
      <c r="J111" s="44"/>
      <c r="K111" s="50"/>
      <c r="L111" s="44"/>
      <c r="M111" s="44"/>
    </row>
    <row r="113" spans="4:13" x14ac:dyDescent="0.35">
      <c r="D113" s="14" t="s">
        <v>31</v>
      </c>
      <c r="E113" s="14"/>
      <c r="F113" s="14"/>
      <c r="G113" s="14"/>
      <c r="H113" s="14"/>
      <c r="I113" s="44"/>
      <c r="J113" s="44"/>
      <c r="K113" s="43"/>
    </row>
    <row r="114" spans="4:13" x14ac:dyDescent="0.35">
      <c r="F114" t="s">
        <v>32</v>
      </c>
      <c r="G114" s="91" t="s">
        <v>33</v>
      </c>
      <c r="H114" t="s">
        <v>34</v>
      </c>
      <c r="I114" s="44"/>
      <c r="J114" s="44"/>
    </row>
    <row r="115" spans="4:13" x14ac:dyDescent="0.35">
      <c r="D115" s="10" t="s">
        <v>38</v>
      </c>
      <c r="E115" s="10"/>
      <c r="F115" s="10">
        <v>6.7149999999999999</v>
      </c>
      <c r="G115" s="81">
        <v>6.7149999999999999</v>
      </c>
      <c r="H115" s="10">
        <v>6.7149999999999999</v>
      </c>
      <c r="I115" s="44"/>
      <c r="J115" s="44"/>
    </row>
    <row r="116" spans="4:13" x14ac:dyDescent="0.35">
      <c r="D116" s="11" t="s">
        <v>39</v>
      </c>
      <c r="E116" s="11"/>
      <c r="F116" s="11">
        <v>0</v>
      </c>
      <c r="G116" s="85">
        <v>0</v>
      </c>
      <c r="H116" s="11">
        <v>0</v>
      </c>
      <c r="I116" s="44"/>
      <c r="J116" s="44"/>
    </row>
    <row r="117" spans="4:13" x14ac:dyDescent="0.35">
      <c r="D117" s="11" t="s">
        <v>40</v>
      </c>
      <c r="E117" s="11"/>
      <c r="F117" s="11">
        <v>7.84</v>
      </c>
      <c r="G117" s="85">
        <v>7.8940000000000001</v>
      </c>
      <c r="H117" s="11">
        <v>7.9359999999999999</v>
      </c>
      <c r="I117" s="44"/>
      <c r="J117" s="44"/>
      <c r="M117" t="s">
        <v>41</v>
      </c>
    </row>
    <row r="118" spans="4:13" x14ac:dyDescent="0.35">
      <c r="D118" t="s">
        <v>42</v>
      </c>
      <c r="F118" s="12">
        <f>F117/(F115+F116)</f>
        <v>1.1675353685778109</v>
      </c>
      <c r="G118" s="92">
        <f t="shared" ref="G118:H118" si="6">G117/(G115+G116)</f>
        <v>1.1755770662695459</v>
      </c>
      <c r="H118" s="12">
        <f t="shared" si="6"/>
        <v>1.1818317200297841</v>
      </c>
      <c r="I118" s="46"/>
      <c r="J118" s="44" t="s">
        <v>43</v>
      </c>
      <c r="K118" s="13">
        <f>(F118+H118)/2</f>
        <v>1.1746835443037975</v>
      </c>
      <c r="M118" s="39">
        <f>_xlfn.STDEV.S(F118,H118)</f>
        <v>1.0109047057916371E-2</v>
      </c>
    </row>
    <row r="119" spans="4:13" x14ac:dyDescent="0.35">
      <c r="G119" s="91"/>
      <c r="I119" s="44"/>
      <c r="J119" s="44"/>
    </row>
    <row r="120" spans="4:13" x14ac:dyDescent="0.35">
      <c r="D120" s="10" t="s">
        <v>44</v>
      </c>
      <c r="E120" s="10"/>
      <c r="F120" s="10">
        <v>6.7149999999999999</v>
      </c>
      <c r="G120" s="81">
        <v>6.7149999999999999</v>
      </c>
      <c r="H120" s="10">
        <v>6.7149999999999999</v>
      </c>
      <c r="I120" s="44"/>
      <c r="J120" s="44"/>
    </row>
    <row r="121" spans="4:13" x14ac:dyDescent="0.35">
      <c r="D121" s="11" t="s">
        <v>45</v>
      </c>
      <c r="E121" s="11"/>
      <c r="F121" s="11">
        <v>0</v>
      </c>
      <c r="G121" s="85">
        <v>0</v>
      </c>
      <c r="H121" s="11">
        <v>0</v>
      </c>
      <c r="I121" s="44"/>
      <c r="J121" s="44"/>
    </row>
    <row r="122" spans="4:13" x14ac:dyDescent="0.35">
      <c r="D122" s="11" t="s">
        <v>46</v>
      </c>
      <c r="E122" s="11"/>
      <c r="F122" s="11">
        <v>6.6470000000000002</v>
      </c>
      <c r="G122" s="85">
        <v>6.6520000000000001</v>
      </c>
      <c r="H122" s="11">
        <v>6.6509999999999998</v>
      </c>
      <c r="I122" s="44"/>
      <c r="J122" s="44"/>
      <c r="M122" t="s">
        <v>41</v>
      </c>
    </row>
    <row r="123" spans="4:13" x14ac:dyDescent="0.35">
      <c r="D123" t="s">
        <v>42</v>
      </c>
      <c r="F123" s="12">
        <f>F122/(F120+F121)</f>
        <v>0.98987341772151904</v>
      </c>
      <c r="G123" s="92">
        <f t="shared" ref="G123:H123" si="7">G122/(G120+G121)</f>
        <v>0.99061801935964267</v>
      </c>
      <c r="H123" s="12">
        <f t="shared" si="7"/>
        <v>0.99046909903201785</v>
      </c>
      <c r="I123" s="47"/>
      <c r="J123" s="53" t="s">
        <v>43</v>
      </c>
      <c r="K123" s="13">
        <f>(F123+H123)/2</f>
        <v>0.99017125837676845</v>
      </c>
      <c r="M123" s="39">
        <f>_xlfn.STDEV.S(F123,H123)</f>
        <v>4.2121029407979642E-4</v>
      </c>
    </row>
    <row r="124" spans="4:13" x14ac:dyDescent="0.35">
      <c r="D124" s="44"/>
      <c r="E124" s="44"/>
      <c r="F124" s="46"/>
      <c r="G124" s="46"/>
      <c r="H124" s="46"/>
      <c r="I124" s="46"/>
      <c r="J124" s="44"/>
      <c r="K124" s="46"/>
      <c r="L124" s="44"/>
      <c r="M124" s="48"/>
    </row>
    <row r="125" spans="4:13" x14ac:dyDescent="0.35">
      <c r="D125" s="54" t="s">
        <v>89</v>
      </c>
      <c r="E125" s="54"/>
      <c r="F125" s="55"/>
      <c r="G125" s="46"/>
      <c r="H125" s="46"/>
      <c r="I125" s="46"/>
      <c r="J125" s="44"/>
      <c r="K125" s="46"/>
      <c r="L125" s="44"/>
      <c r="M125" s="48"/>
    </row>
    <row r="126" spans="4:13" x14ac:dyDescent="0.35">
      <c r="D126" s="44" t="s">
        <v>8</v>
      </c>
      <c r="E126" s="44">
        <v>-6.4100000000000004E-2</v>
      </c>
      <c r="F126" s="56" t="s">
        <v>90</v>
      </c>
      <c r="G126" s="46"/>
      <c r="H126" s="46"/>
      <c r="I126" s="46"/>
      <c r="J126" s="44"/>
      <c r="K126" s="46"/>
      <c r="L126" s="44"/>
      <c r="M126" s="48"/>
    </row>
    <row r="127" spans="4:13" x14ac:dyDescent="0.35">
      <c r="D127" s="63" t="s">
        <v>17</v>
      </c>
      <c r="E127" s="63">
        <v>-0.309</v>
      </c>
      <c r="F127" s="64" t="s">
        <v>90</v>
      </c>
      <c r="G127" s="46"/>
      <c r="H127" s="46"/>
      <c r="I127" s="46"/>
      <c r="J127" s="44"/>
      <c r="K127" s="46"/>
      <c r="L127" s="44"/>
      <c r="M127" s="48"/>
    </row>
    <row r="128" spans="4:13" x14ac:dyDescent="0.35">
      <c r="D128" s="44" t="s">
        <v>20</v>
      </c>
      <c r="E128" s="44">
        <v>-5.3800000000000001E-2</v>
      </c>
      <c r="F128" s="56" t="s">
        <v>90</v>
      </c>
      <c r="G128" s="46"/>
      <c r="H128" s="46"/>
      <c r="I128" s="46"/>
      <c r="J128" s="44"/>
      <c r="K128" s="46"/>
      <c r="L128" s="44"/>
      <c r="M128" s="48"/>
    </row>
    <row r="129" spans="2:13" x14ac:dyDescent="0.35">
      <c r="D129" s="60" t="s">
        <v>91</v>
      </c>
      <c r="E129" s="62">
        <f>(E126+E128)/2</f>
        <v>-5.8950000000000002E-2</v>
      </c>
      <c r="F129" s="61" t="s">
        <v>90</v>
      </c>
      <c r="G129" s="46"/>
      <c r="H129" s="46"/>
      <c r="I129" s="46"/>
      <c r="J129" s="44"/>
      <c r="K129" s="46"/>
      <c r="L129" s="44"/>
      <c r="M129" s="48"/>
    </row>
    <row r="130" spans="2:13" x14ac:dyDescent="0.35">
      <c r="D130" s="44"/>
      <c r="E130" s="44"/>
      <c r="F130" s="46"/>
      <c r="G130" s="46"/>
      <c r="H130" s="46"/>
      <c r="I130" s="46"/>
      <c r="J130" s="44"/>
      <c r="K130" s="46"/>
      <c r="L130" s="44"/>
      <c r="M130" s="48"/>
    </row>
    <row r="131" spans="2:13" x14ac:dyDescent="0.35">
      <c r="D131" s="54" t="s">
        <v>89</v>
      </c>
      <c r="E131" s="54"/>
      <c r="F131" s="55"/>
      <c r="G131" s="46"/>
      <c r="H131" s="46"/>
      <c r="I131" s="46"/>
      <c r="J131" s="44"/>
      <c r="K131" s="46"/>
      <c r="L131" s="44"/>
      <c r="M131" s="48"/>
    </row>
    <row r="132" spans="2:13" x14ac:dyDescent="0.35">
      <c r="D132" s="44" t="s">
        <v>8</v>
      </c>
      <c r="E132" s="44">
        <v>0.02</v>
      </c>
      <c r="F132" s="56" t="s">
        <v>92</v>
      </c>
      <c r="G132" s="46"/>
      <c r="H132" s="46"/>
      <c r="I132" s="46"/>
      <c r="J132" s="44"/>
      <c r="K132" s="46"/>
      <c r="L132" s="44"/>
      <c r="M132" s="48"/>
    </row>
    <row r="133" spans="2:13" x14ac:dyDescent="0.35">
      <c r="D133" s="63" t="s">
        <v>17</v>
      </c>
      <c r="E133" s="63">
        <v>10</v>
      </c>
      <c r="F133" s="64" t="s">
        <v>92</v>
      </c>
      <c r="G133" s="46"/>
      <c r="H133" s="46"/>
      <c r="I133" s="46"/>
      <c r="J133" s="44"/>
      <c r="K133" s="46"/>
      <c r="L133" s="44"/>
      <c r="M133" s="48"/>
    </row>
    <row r="134" spans="2:13" x14ac:dyDescent="0.35">
      <c r="D134" s="44" t="s">
        <v>20</v>
      </c>
      <c r="E134" s="44">
        <v>0.03</v>
      </c>
      <c r="F134" s="56" t="s">
        <v>92</v>
      </c>
      <c r="G134" s="46"/>
      <c r="H134" s="46"/>
      <c r="I134" s="46"/>
      <c r="J134" s="44"/>
      <c r="K134" s="46"/>
      <c r="L134" s="44"/>
      <c r="M134" s="48"/>
    </row>
    <row r="135" spans="2:13" x14ac:dyDescent="0.35">
      <c r="D135" s="57" t="s">
        <v>91</v>
      </c>
      <c r="E135" s="58">
        <f>(E132+E134)/2</f>
        <v>2.5000000000000001E-2</v>
      </c>
      <c r="F135" s="59" t="s">
        <v>92</v>
      </c>
      <c r="G135" s="46"/>
      <c r="H135" s="46"/>
      <c r="I135" s="46"/>
      <c r="J135" s="44"/>
      <c r="K135" s="46"/>
      <c r="L135" s="44"/>
      <c r="M135" s="48"/>
    </row>
    <row r="136" spans="2:13" x14ac:dyDescent="0.35">
      <c r="D136" s="44"/>
      <c r="E136" s="44"/>
      <c r="F136" s="46"/>
      <c r="G136" s="46"/>
      <c r="H136" s="46"/>
      <c r="I136" s="46"/>
      <c r="J136" s="44"/>
      <c r="K136" s="46"/>
      <c r="L136" s="44"/>
      <c r="M136" s="48"/>
    </row>
    <row r="137" spans="2:13" x14ac:dyDescent="0.35">
      <c r="B137" s="1" t="s">
        <v>128</v>
      </c>
      <c r="C137" s="1"/>
      <c r="D137" s="1"/>
      <c r="E137" s="1"/>
      <c r="F137" s="1"/>
      <c r="G137" s="1"/>
      <c r="H137" s="1"/>
      <c r="I137" s="1"/>
    </row>
    <row r="138" spans="2:13" x14ac:dyDescent="0.35">
      <c r="B138" s="2" t="s">
        <v>2</v>
      </c>
      <c r="C138" s="2" t="s">
        <v>3</v>
      </c>
      <c r="D138" s="2" t="s">
        <v>4</v>
      </c>
    </row>
    <row r="140" spans="2:13" x14ac:dyDescent="0.35">
      <c r="C140" s="2" t="s">
        <v>5</v>
      </c>
      <c r="D140" s="2"/>
      <c r="E140" s="2"/>
      <c r="F140" s="2"/>
      <c r="G140" s="2" t="s">
        <v>6</v>
      </c>
      <c r="H140" s="2" t="s">
        <v>84</v>
      </c>
    </row>
    <row r="142" spans="2:13" x14ac:dyDescent="0.35">
      <c r="B142" s="10" t="s">
        <v>129</v>
      </c>
      <c r="C142" s="10"/>
      <c r="D142" s="33" t="s">
        <v>8</v>
      </c>
      <c r="E142" s="34">
        <v>2.5069999999999999E-2</v>
      </c>
      <c r="F142" s="35" t="s">
        <v>9</v>
      </c>
      <c r="G142" s="113" t="s">
        <v>86</v>
      </c>
      <c r="H142" s="113">
        <f>'Material - Abmessungen'!E15</f>
        <v>6.7149562500000002</v>
      </c>
      <c r="I142" s="113" t="s">
        <v>12</v>
      </c>
      <c r="J142" s="44"/>
      <c r="K142" s="50"/>
      <c r="L142" s="44"/>
      <c r="M142" s="44"/>
    </row>
    <row r="143" spans="2:13" x14ac:dyDescent="0.35">
      <c r="B143" s="10" t="s">
        <v>130</v>
      </c>
      <c r="C143" s="15"/>
      <c r="D143" s="33" t="s">
        <v>17</v>
      </c>
      <c r="E143" s="37">
        <v>2.47E-2</v>
      </c>
      <c r="F143" s="38" t="s">
        <v>9</v>
      </c>
      <c r="G143" s="113" t="s">
        <v>86</v>
      </c>
      <c r="H143" s="113">
        <f>'Material - Abmessungen'!E15</f>
        <v>6.7149562500000002</v>
      </c>
      <c r="I143" s="113" t="s">
        <v>12</v>
      </c>
      <c r="J143" s="44"/>
      <c r="K143" s="50"/>
      <c r="L143" s="44"/>
      <c r="M143" s="44"/>
    </row>
    <row r="144" spans="2:13" x14ac:dyDescent="0.35">
      <c r="B144" s="97" t="s">
        <v>131</v>
      </c>
      <c r="C144" s="98"/>
      <c r="D144" s="103" t="s">
        <v>20</v>
      </c>
      <c r="E144" s="101">
        <v>2.5309999999999999E-2</v>
      </c>
      <c r="F144" s="102" t="s">
        <v>9</v>
      </c>
      <c r="G144" s="113" t="s">
        <v>86</v>
      </c>
      <c r="H144" s="113">
        <f>'Material - Abmessungen'!E15</f>
        <v>6.7149562500000002</v>
      </c>
      <c r="I144" s="113" t="s">
        <v>12</v>
      </c>
      <c r="J144" s="44"/>
      <c r="K144" s="50"/>
      <c r="L144" s="44"/>
      <c r="M144" s="44"/>
    </row>
    <row r="145" spans="2:13" x14ac:dyDescent="0.35">
      <c r="B145" s="10" t="s">
        <v>132</v>
      </c>
      <c r="C145" s="11"/>
      <c r="D145" s="36" t="s">
        <v>107</v>
      </c>
      <c r="E145" s="37">
        <v>2.53E-2</v>
      </c>
      <c r="F145" s="38" t="s">
        <v>9</v>
      </c>
      <c r="G145" s="113" t="s">
        <v>86</v>
      </c>
      <c r="H145" s="113">
        <f>'Material - Abmessungen'!E15</f>
        <v>6.7149562500000002</v>
      </c>
      <c r="I145" s="113" t="s">
        <v>12</v>
      </c>
      <c r="J145" s="44"/>
      <c r="K145" s="50"/>
      <c r="L145" s="44"/>
      <c r="M145" s="44"/>
    </row>
    <row r="147" spans="2:13" x14ac:dyDescent="0.35">
      <c r="D147" s="14" t="s">
        <v>31</v>
      </c>
      <c r="E147" s="14"/>
      <c r="F147" s="14"/>
      <c r="G147" s="14"/>
      <c r="H147" s="14"/>
      <c r="I147" s="44"/>
      <c r="J147" s="44"/>
      <c r="K147" s="44"/>
    </row>
    <row r="148" spans="2:13" x14ac:dyDescent="0.35">
      <c r="F148" t="s">
        <v>32</v>
      </c>
      <c r="G148" t="s">
        <v>33</v>
      </c>
      <c r="H148" t="s">
        <v>34</v>
      </c>
      <c r="I148" t="s">
        <v>35</v>
      </c>
      <c r="J148" s="44"/>
      <c r="K148" s="44"/>
    </row>
    <row r="149" spans="2:13" x14ac:dyDescent="0.35">
      <c r="D149" s="10" t="s">
        <v>38</v>
      </c>
      <c r="E149" s="10"/>
      <c r="F149" s="10">
        <v>6.7149999999999999</v>
      </c>
      <c r="G149" s="10">
        <v>6.7149999999999999</v>
      </c>
      <c r="H149" s="66">
        <v>6.7149999999999999</v>
      </c>
      <c r="I149" s="10">
        <v>6.7149999999999999</v>
      </c>
      <c r="J149" s="44"/>
      <c r="K149" s="44"/>
    </row>
    <row r="150" spans="2:13" x14ac:dyDescent="0.35">
      <c r="D150" s="11" t="s">
        <v>39</v>
      </c>
      <c r="E150" s="11"/>
      <c r="F150" s="11">
        <v>0</v>
      </c>
      <c r="G150" s="11">
        <v>0</v>
      </c>
      <c r="H150" s="71">
        <v>0</v>
      </c>
      <c r="I150" s="11">
        <v>0</v>
      </c>
      <c r="J150" s="44"/>
      <c r="K150" s="44"/>
    </row>
    <row r="151" spans="2:13" x14ac:dyDescent="0.35">
      <c r="D151" s="11" t="s">
        <v>40</v>
      </c>
      <c r="E151" s="11"/>
      <c r="F151" s="11">
        <v>7.9</v>
      </c>
      <c r="G151" s="11">
        <v>7.9189999999999996</v>
      </c>
      <c r="H151" s="71">
        <v>7.9119999999999999</v>
      </c>
      <c r="I151" s="11">
        <v>7.88</v>
      </c>
      <c r="M151" t="s">
        <v>41</v>
      </c>
    </row>
    <row r="152" spans="2:13" x14ac:dyDescent="0.35">
      <c r="D152" t="s">
        <v>42</v>
      </c>
      <c r="F152" s="12">
        <f>F151/(F149+F150)</f>
        <v>1.1764705882352942</v>
      </c>
      <c r="G152" s="12">
        <f t="shared" ref="G152:H152" si="8">G151/(G149+G150)</f>
        <v>1.1793000744601638</v>
      </c>
      <c r="H152" s="12">
        <f t="shared" si="8"/>
        <v>1.1782576321667908</v>
      </c>
      <c r="I152" s="12">
        <f>I151/(I149+I150)</f>
        <v>1.1734921816827997</v>
      </c>
      <c r="J152" t="s">
        <v>43</v>
      </c>
      <c r="K152" s="13">
        <f>(F152+G152+I152+H152)/4</f>
        <v>1.1768801191362623</v>
      </c>
      <c r="M152" s="39">
        <f>_xlfn.STDEV.S(F152,G152,I152, H152)</f>
        <v>2.5429354210162827E-3</v>
      </c>
    </row>
    <row r="154" spans="2:13" x14ac:dyDescent="0.35">
      <c r="D154" s="10" t="s">
        <v>44</v>
      </c>
      <c r="E154" s="10"/>
      <c r="F154" s="10">
        <v>6.7149999999999999</v>
      </c>
      <c r="G154" s="10">
        <v>6.7149999999999999</v>
      </c>
      <c r="H154" s="66">
        <v>6.7149999999999999</v>
      </c>
      <c r="I154" s="10">
        <v>6.7149999999999999</v>
      </c>
    </row>
    <row r="155" spans="2:13" x14ac:dyDescent="0.35">
      <c r="D155" s="11" t="s">
        <v>45</v>
      </c>
      <c r="E155" s="11"/>
      <c r="F155" s="11">
        <v>0</v>
      </c>
      <c r="G155" s="11">
        <v>0</v>
      </c>
      <c r="H155" s="71">
        <v>0</v>
      </c>
      <c r="I155" s="11">
        <v>0</v>
      </c>
    </row>
    <row r="156" spans="2:13" x14ac:dyDescent="0.35">
      <c r="D156" s="11" t="s">
        <v>46</v>
      </c>
      <c r="E156" s="11"/>
      <c r="F156" s="11">
        <v>6.6459999999999999</v>
      </c>
      <c r="G156" s="11">
        <v>6.65</v>
      </c>
      <c r="H156" s="71">
        <v>6.66</v>
      </c>
      <c r="I156" s="11">
        <v>6.65</v>
      </c>
      <c r="M156" t="s">
        <v>41</v>
      </c>
    </row>
    <row r="157" spans="2:13" x14ac:dyDescent="0.35">
      <c r="D157" t="s">
        <v>42</v>
      </c>
      <c r="F157" s="12">
        <f>F156/(F154+F155)</f>
        <v>0.98972449739389423</v>
      </c>
      <c r="G157" s="12">
        <f t="shared" ref="G157:H157" si="9">G156/(G154+G155)</f>
        <v>0.99032017870439326</v>
      </c>
      <c r="H157" s="12">
        <f t="shared" si="9"/>
        <v>0.99180938198064039</v>
      </c>
      <c r="I157" s="12">
        <f>I156/(I154+I155)</f>
        <v>0.99032017870439326</v>
      </c>
      <c r="J157" t="s">
        <v>43</v>
      </c>
      <c r="K157" s="13">
        <f>(F157+G157+I157+H157)/4</f>
        <v>0.99054355919583026</v>
      </c>
      <c r="M157" s="39">
        <f>_xlfn.STDEV.S(F157,G157,I157,H157)</f>
        <v>8.8937566975274705E-4</v>
      </c>
    </row>
    <row r="159" spans="2:13" x14ac:dyDescent="0.35">
      <c r="D159" s="54" t="s">
        <v>89</v>
      </c>
      <c r="E159" s="54"/>
      <c r="F159" s="55"/>
    </row>
    <row r="160" spans="2:13" x14ac:dyDescent="0.35">
      <c r="D160" s="44" t="s">
        <v>8</v>
      </c>
      <c r="E160" s="44">
        <v>-0.37040000000000001</v>
      </c>
      <c r="F160" s="56" t="s">
        <v>90</v>
      </c>
    </row>
    <row r="161" spans="4:6" x14ac:dyDescent="0.35">
      <c r="D161" s="44" t="s">
        <v>17</v>
      </c>
      <c r="E161" s="44">
        <v>-0.29720000000000002</v>
      </c>
      <c r="F161" s="56" t="s">
        <v>90</v>
      </c>
    </row>
    <row r="162" spans="4:6" x14ac:dyDescent="0.35">
      <c r="D162" s="44" t="s">
        <v>108</v>
      </c>
      <c r="E162" s="44">
        <v>-0.11509999999999999</v>
      </c>
      <c r="F162" s="104" t="s">
        <v>90</v>
      </c>
    </row>
    <row r="163" spans="4:6" x14ac:dyDescent="0.35">
      <c r="D163" s="44" t="s">
        <v>109</v>
      </c>
      <c r="E163" s="44">
        <v>-0.3216</v>
      </c>
      <c r="F163" s="56" t="s">
        <v>90</v>
      </c>
    </row>
    <row r="164" spans="4:6" x14ac:dyDescent="0.35">
      <c r="D164" s="60" t="s">
        <v>91</v>
      </c>
      <c r="E164" s="62">
        <v>0.27610000000000001</v>
      </c>
      <c r="F164" s="61" t="s">
        <v>90</v>
      </c>
    </row>
    <row r="165" spans="4:6" x14ac:dyDescent="0.35">
      <c r="D165" s="44"/>
      <c r="E165" s="44"/>
      <c r="F165" s="46"/>
    </row>
    <row r="166" spans="4:6" x14ac:dyDescent="0.35">
      <c r="D166" s="54" t="s">
        <v>89</v>
      </c>
      <c r="E166" s="54"/>
      <c r="F166" s="55"/>
    </row>
    <row r="167" spans="4:6" x14ac:dyDescent="0.35">
      <c r="D167" s="44" t="s">
        <v>8</v>
      </c>
      <c r="E167" s="44">
        <v>3.3E-3</v>
      </c>
      <c r="F167" s="56" t="s">
        <v>92</v>
      </c>
    </row>
    <row r="168" spans="4:6" x14ac:dyDescent="0.35">
      <c r="D168" s="44" t="s">
        <v>17</v>
      </c>
      <c r="E168" s="44">
        <v>3.3E-3</v>
      </c>
      <c r="F168" s="56" t="s">
        <v>92</v>
      </c>
    </row>
    <row r="169" spans="4:6" x14ac:dyDescent="0.35">
      <c r="D169" s="44" t="s">
        <v>108</v>
      </c>
      <c r="E169" s="44">
        <v>7.4999999999999997E-3</v>
      </c>
      <c r="F169" s="104" t="s">
        <v>92</v>
      </c>
    </row>
    <row r="170" spans="4:6" x14ac:dyDescent="0.35">
      <c r="D170" s="44" t="s">
        <v>109</v>
      </c>
      <c r="E170" s="44">
        <v>3.3E-3</v>
      </c>
      <c r="F170" s="56" t="s">
        <v>92</v>
      </c>
    </row>
    <row r="171" spans="4:6" x14ac:dyDescent="0.35">
      <c r="D171" s="57" t="s">
        <v>91</v>
      </c>
      <c r="E171" s="58">
        <v>4.3499999999999997E-3</v>
      </c>
      <c r="F171" s="59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4"/>
  <sheetViews>
    <sheetView workbookViewId="0"/>
  </sheetViews>
  <sheetFormatPr baseColWidth="10" defaultRowHeight="14.5" x14ac:dyDescent="0.35"/>
  <cols>
    <col min="2" max="2" width="53.81640625" customWidth="1"/>
    <col min="5" max="5" width="17.453125" customWidth="1"/>
    <col min="7" max="7" width="30.08984375" customWidth="1"/>
    <col min="8" max="8" width="14.90625" customWidth="1"/>
    <col min="10" max="10" width="23.81640625" customWidth="1"/>
  </cols>
  <sheetData>
    <row r="2" spans="2:13" x14ac:dyDescent="0.35">
      <c r="B2" s="1" t="s">
        <v>133</v>
      </c>
      <c r="C2" s="75"/>
      <c r="D2" s="75"/>
      <c r="E2" s="75"/>
      <c r="F2" s="75"/>
      <c r="G2" s="75"/>
      <c r="H2" s="75"/>
    </row>
    <row r="3" spans="2:13" x14ac:dyDescent="0.35">
      <c r="B3" s="75" t="s">
        <v>134</v>
      </c>
      <c r="C3" s="75"/>
      <c r="D3" s="75"/>
      <c r="E3" s="75"/>
    </row>
    <row r="5" spans="2:13" x14ac:dyDescent="0.35">
      <c r="B5" s="1" t="s">
        <v>135</v>
      </c>
      <c r="C5" s="1"/>
      <c r="D5" s="1"/>
      <c r="E5" s="1"/>
      <c r="F5" s="1"/>
      <c r="G5" s="1"/>
      <c r="H5" s="1"/>
      <c r="I5" s="1"/>
    </row>
    <row r="6" spans="2:13" x14ac:dyDescent="0.35">
      <c r="B6" s="44"/>
      <c r="C6" s="44"/>
      <c r="D6" s="44"/>
    </row>
    <row r="8" spans="2:13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13" x14ac:dyDescent="0.35">
      <c r="B10" s="10" t="s">
        <v>112</v>
      </c>
      <c r="C10" s="10"/>
      <c r="D10" s="33" t="s">
        <v>8</v>
      </c>
      <c r="E10" s="34">
        <v>2.4469999999999999E-2</v>
      </c>
      <c r="F10" s="35" t="s">
        <v>9</v>
      </c>
      <c r="G10" s="113" t="s">
        <v>86</v>
      </c>
      <c r="H10" s="113">
        <f>'Material - Abmessungen'!E15</f>
        <v>6.7149562500000002</v>
      </c>
      <c r="I10" s="113" t="s">
        <v>12</v>
      </c>
      <c r="J10" s="44"/>
      <c r="K10" s="50"/>
      <c r="L10" s="44"/>
      <c r="M10" s="44"/>
    </row>
    <row r="11" spans="2:13" x14ac:dyDescent="0.35">
      <c r="B11" s="10" t="s">
        <v>113</v>
      </c>
      <c r="C11" s="15"/>
      <c r="D11" s="33" t="s">
        <v>17</v>
      </c>
      <c r="E11" s="37">
        <v>2.4379999999999999E-2</v>
      </c>
      <c r="F11" s="38" t="s">
        <v>9</v>
      </c>
      <c r="G11" s="113" t="s">
        <v>86</v>
      </c>
      <c r="H11" s="113">
        <f>'Material - Abmessungen'!E15</f>
        <v>6.7149562500000002</v>
      </c>
      <c r="I11" s="113" t="s">
        <v>12</v>
      </c>
      <c r="J11" s="44"/>
      <c r="K11" s="50"/>
      <c r="L11" s="44"/>
      <c r="M11" s="44"/>
    </row>
    <row r="12" spans="2:13" x14ac:dyDescent="0.35">
      <c r="B12" s="10" t="s">
        <v>114</v>
      </c>
      <c r="C12" s="15"/>
      <c r="D12" s="36" t="s">
        <v>20</v>
      </c>
      <c r="E12" s="37">
        <v>2.4209999999999999E-2</v>
      </c>
      <c r="F12" s="38" t="s">
        <v>9</v>
      </c>
      <c r="G12" s="113" t="s">
        <v>86</v>
      </c>
      <c r="H12" s="113">
        <f>'Material - Abmessungen'!E15</f>
        <v>6.7149562500000002</v>
      </c>
      <c r="I12" s="113" t="s">
        <v>12</v>
      </c>
      <c r="J12" s="44"/>
      <c r="K12" s="50"/>
      <c r="L12" s="44"/>
      <c r="M12" s="44"/>
    </row>
    <row r="14" spans="2:13" x14ac:dyDescent="0.35">
      <c r="D14" s="14" t="s">
        <v>31</v>
      </c>
      <c r="E14" s="14"/>
      <c r="F14" s="14"/>
      <c r="G14" s="14"/>
      <c r="H14" s="14"/>
      <c r="I14" s="44"/>
      <c r="J14" s="44"/>
      <c r="K14" s="44"/>
    </row>
    <row r="15" spans="2:13" x14ac:dyDescent="0.35">
      <c r="F15" t="s">
        <v>32</v>
      </c>
      <c r="G15" t="s">
        <v>33</v>
      </c>
      <c r="H15" t="s">
        <v>34</v>
      </c>
      <c r="I15" s="44"/>
      <c r="J15" s="44"/>
      <c r="K15" s="44"/>
    </row>
    <row r="16" spans="2:13" x14ac:dyDescent="0.35">
      <c r="D16" s="10" t="s">
        <v>38</v>
      </c>
      <c r="E16" s="10"/>
      <c r="F16" s="10">
        <v>6.7149999999999999</v>
      </c>
      <c r="G16" s="10">
        <v>6.7149999999999999</v>
      </c>
      <c r="H16" s="10">
        <v>6.7149999999999999</v>
      </c>
      <c r="I16" s="44"/>
      <c r="J16" s="44"/>
      <c r="K16" s="44"/>
    </row>
    <row r="17" spans="4:13" x14ac:dyDescent="0.35">
      <c r="D17" s="11" t="s">
        <v>39</v>
      </c>
      <c r="E17" s="11"/>
      <c r="F17" s="11">
        <v>0</v>
      </c>
      <c r="G17" s="11">
        <v>0</v>
      </c>
      <c r="H17" s="11">
        <v>0</v>
      </c>
      <c r="I17" s="44"/>
      <c r="J17" s="44"/>
      <c r="K17" s="44"/>
    </row>
    <row r="18" spans="4:13" x14ac:dyDescent="0.35">
      <c r="D18" s="11" t="s">
        <v>40</v>
      </c>
      <c r="E18" s="11"/>
      <c r="F18" s="11">
        <v>6.2080000000000002</v>
      </c>
      <c r="G18" s="11">
        <v>6.1920000000000002</v>
      </c>
      <c r="H18" s="11">
        <v>6.1929999999999996</v>
      </c>
      <c r="I18" s="44"/>
      <c r="M18" t="s">
        <v>41</v>
      </c>
    </row>
    <row r="19" spans="4:13" x14ac:dyDescent="0.35">
      <c r="D19" t="s">
        <v>42</v>
      </c>
      <c r="F19" s="12">
        <f>F18/(F16+F17)</f>
        <v>0.92449739389426666</v>
      </c>
      <c r="G19" s="12">
        <f t="shared" ref="G19:H19" si="0">G18/(G16+G17)</f>
        <v>0.9221146686522711</v>
      </c>
      <c r="H19" s="12">
        <f t="shared" si="0"/>
        <v>0.92226358897989569</v>
      </c>
      <c r="I19" s="46"/>
      <c r="J19" t="s">
        <v>43</v>
      </c>
      <c r="K19" s="13">
        <f>(F19+G19+H19)/3</f>
        <v>0.92295855050881104</v>
      </c>
      <c r="M19" s="39">
        <f>_xlfn.STDEV.S(F19,G19,H19)</f>
        <v>1.3347559850830756E-3</v>
      </c>
    </row>
    <row r="20" spans="4:13" x14ac:dyDescent="0.35">
      <c r="I20" s="44"/>
    </row>
    <row r="21" spans="4:13" x14ac:dyDescent="0.35">
      <c r="D21" s="10" t="s">
        <v>44</v>
      </c>
      <c r="E21" s="10"/>
      <c r="F21" s="10">
        <v>6.7149999999999999</v>
      </c>
      <c r="G21" s="10">
        <v>6.7149999999999999</v>
      </c>
      <c r="H21" s="10">
        <v>6.7149999999999999</v>
      </c>
      <c r="I21" s="44"/>
    </row>
    <row r="22" spans="4:13" x14ac:dyDescent="0.35">
      <c r="D22" s="11" t="s">
        <v>45</v>
      </c>
      <c r="E22" s="11"/>
      <c r="F22" s="11">
        <v>0</v>
      </c>
      <c r="G22" s="11">
        <v>0</v>
      </c>
      <c r="H22" s="11">
        <v>0</v>
      </c>
      <c r="I22" s="44"/>
    </row>
    <row r="23" spans="4:13" x14ac:dyDescent="0.35">
      <c r="D23" s="11" t="s">
        <v>46</v>
      </c>
      <c r="E23" s="11"/>
      <c r="F23" s="11">
        <v>6.6180000000000003</v>
      </c>
      <c r="G23" s="11">
        <v>6.6180000000000003</v>
      </c>
      <c r="H23" s="11">
        <v>6.62</v>
      </c>
      <c r="I23" s="44"/>
      <c r="M23" t="s">
        <v>41</v>
      </c>
    </row>
    <row r="24" spans="4:13" x14ac:dyDescent="0.35">
      <c r="D24" t="s">
        <v>42</v>
      </c>
      <c r="F24" s="12">
        <f>F23/(F21+F22)</f>
        <v>0.98555472822040213</v>
      </c>
      <c r="G24" s="12">
        <f t="shared" ref="G24:H24" si="1">G23/(G21+G22)</f>
        <v>0.98555472822040213</v>
      </c>
      <c r="H24" s="12">
        <f t="shared" si="1"/>
        <v>0.98585256887565154</v>
      </c>
      <c r="I24" s="47"/>
      <c r="J24" t="s">
        <v>43</v>
      </c>
      <c r="K24" s="13">
        <f>(F24+G24+H24)/3</f>
        <v>0.98565400843881867</v>
      </c>
      <c r="M24" s="39">
        <f>_xlfn.STDEV.S(F24,G24,H24)</f>
        <v>1.719583824838579E-4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3"/>
  <sheetViews>
    <sheetView workbookViewId="0"/>
  </sheetViews>
  <sheetFormatPr baseColWidth="10" defaultRowHeight="14.5" x14ac:dyDescent="0.35"/>
  <cols>
    <col min="2" max="2" width="85.54296875" customWidth="1"/>
    <col min="4" max="4" width="13.54296875" customWidth="1"/>
  </cols>
  <sheetData>
    <row r="2" spans="2:10" x14ac:dyDescent="0.35">
      <c r="B2" s="1" t="s">
        <v>136</v>
      </c>
      <c r="C2" s="75"/>
      <c r="D2" s="75"/>
      <c r="E2" s="75"/>
      <c r="F2" s="75"/>
      <c r="G2" s="75"/>
    </row>
    <row r="5" spans="2:10" x14ac:dyDescent="0.35">
      <c r="B5" s="1" t="s">
        <v>137</v>
      </c>
      <c r="C5" s="1"/>
      <c r="D5" s="1"/>
      <c r="E5" s="1"/>
      <c r="F5" s="1"/>
      <c r="G5" s="1"/>
      <c r="H5" s="1"/>
      <c r="I5" s="1"/>
    </row>
    <row r="6" spans="2:10" x14ac:dyDescent="0.35">
      <c r="B6" s="2" t="s">
        <v>2</v>
      </c>
      <c r="C6" s="2" t="s">
        <v>3</v>
      </c>
      <c r="D6" s="2" t="s">
        <v>4</v>
      </c>
    </row>
    <row r="8" spans="2:10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10" x14ac:dyDescent="0.35">
      <c r="B10" s="10" t="s">
        <v>138</v>
      </c>
      <c r="C10" s="10"/>
      <c r="D10" s="33" t="s">
        <v>8</v>
      </c>
      <c r="E10" s="34">
        <v>2.5729999999999999E-2</v>
      </c>
      <c r="F10" s="35" t="s">
        <v>9</v>
      </c>
      <c r="G10" s="44"/>
      <c r="H10" s="49"/>
      <c r="I10" s="44"/>
    </row>
    <row r="11" spans="2:10" x14ac:dyDescent="0.35">
      <c r="B11" s="81" t="s">
        <v>139</v>
      </c>
      <c r="C11" s="82"/>
      <c r="D11" s="83" t="s">
        <v>17</v>
      </c>
      <c r="E11" s="84">
        <v>2.5659999999999999E-2</v>
      </c>
      <c r="F11" s="85" t="s">
        <v>9</v>
      </c>
      <c r="G11" s="63" t="s">
        <v>140</v>
      </c>
      <c r="H11" s="87"/>
      <c r="I11" s="63"/>
      <c r="J11" s="91"/>
    </row>
    <row r="12" spans="2:10" x14ac:dyDescent="0.35">
      <c r="B12" s="10" t="s">
        <v>141</v>
      </c>
      <c r="C12" s="15"/>
      <c r="D12" s="36" t="s">
        <v>20</v>
      </c>
      <c r="E12" s="37">
        <v>2.5610000000000001E-2</v>
      </c>
      <c r="F12" s="38" t="s">
        <v>9</v>
      </c>
      <c r="G12" s="44"/>
      <c r="H12" s="49"/>
      <c r="I12" s="44"/>
    </row>
    <row r="13" spans="2:10" x14ac:dyDescent="0.35">
      <c r="B13" s="10" t="s">
        <v>142</v>
      </c>
      <c r="C13" s="11"/>
      <c r="D13" s="36" t="s">
        <v>107</v>
      </c>
      <c r="E13" s="37">
        <v>2.5489999999999999E-2</v>
      </c>
      <c r="F13" s="38" t="s">
        <v>9</v>
      </c>
      <c r="G13" s="44"/>
      <c r="H13" s="49"/>
      <c r="I13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3"/>
  <sheetViews>
    <sheetView workbookViewId="0"/>
  </sheetViews>
  <sheetFormatPr baseColWidth="10" defaultRowHeight="14.5" x14ac:dyDescent="0.35"/>
  <cols>
    <col min="2" max="2" width="85.08984375" customWidth="1"/>
    <col min="7" max="7" width="13" customWidth="1"/>
    <col min="8" max="8" width="12.453125" customWidth="1"/>
  </cols>
  <sheetData>
    <row r="2" spans="2:10" x14ac:dyDescent="0.35">
      <c r="B2" s="1" t="s">
        <v>143</v>
      </c>
      <c r="C2" s="75"/>
      <c r="D2" s="75"/>
      <c r="E2" s="75"/>
      <c r="F2" s="75"/>
      <c r="G2" s="75"/>
    </row>
    <row r="5" spans="2:10" x14ac:dyDescent="0.35">
      <c r="B5" s="1" t="s">
        <v>144</v>
      </c>
      <c r="C5" s="1"/>
      <c r="D5" s="1"/>
      <c r="E5" s="1"/>
      <c r="F5" s="1"/>
      <c r="G5" s="1"/>
      <c r="H5" s="1"/>
      <c r="I5" s="1"/>
    </row>
    <row r="6" spans="2:10" x14ac:dyDescent="0.35">
      <c r="B6" s="2" t="s">
        <v>2</v>
      </c>
      <c r="C6" s="2" t="s">
        <v>3</v>
      </c>
      <c r="D6" s="2" t="s">
        <v>4</v>
      </c>
    </row>
    <row r="8" spans="2:10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10" x14ac:dyDescent="0.35">
      <c r="B10" s="10" t="s">
        <v>145</v>
      </c>
      <c r="C10" s="10"/>
      <c r="D10" s="33" t="s">
        <v>8</v>
      </c>
      <c r="E10" s="34">
        <v>2.529E-2</v>
      </c>
      <c r="F10" s="35" t="s">
        <v>9</v>
      </c>
      <c r="G10" s="44"/>
      <c r="H10" s="49"/>
      <c r="I10" s="44"/>
    </row>
    <row r="11" spans="2:10" x14ac:dyDescent="0.35">
      <c r="B11" s="81" t="s">
        <v>146</v>
      </c>
      <c r="C11" s="82"/>
      <c r="D11" s="83" t="s">
        <v>17</v>
      </c>
      <c r="E11" s="84">
        <v>2.513E-2</v>
      </c>
      <c r="F11" s="85" t="s">
        <v>9</v>
      </c>
      <c r="G11" s="63" t="s">
        <v>147</v>
      </c>
      <c r="H11" s="87"/>
      <c r="I11" s="63"/>
      <c r="J11" s="91"/>
    </row>
    <row r="12" spans="2:10" x14ac:dyDescent="0.35">
      <c r="B12" s="10" t="s">
        <v>148</v>
      </c>
      <c r="C12" s="15"/>
      <c r="D12" s="36" t="s">
        <v>20</v>
      </c>
      <c r="E12" s="37">
        <v>2.529E-2</v>
      </c>
      <c r="F12" s="38" t="s">
        <v>9</v>
      </c>
      <c r="G12" s="44"/>
      <c r="H12" s="49"/>
      <c r="I12" s="44"/>
    </row>
    <row r="13" spans="2:10" x14ac:dyDescent="0.35">
      <c r="B13" s="10" t="s">
        <v>149</v>
      </c>
      <c r="C13" s="11"/>
      <c r="D13" s="36" t="s">
        <v>107</v>
      </c>
      <c r="E13" s="37">
        <v>2.529E-2</v>
      </c>
      <c r="F13" s="38" t="s">
        <v>9</v>
      </c>
      <c r="G13" s="44"/>
      <c r="H13" s="49"/>
      <c r="I13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3"/>
  <sheetViews>
    <sheetView workbookViewId="0"/>
  </sheetViews>
  <sheetFormatPr baseColWidth="10" defaultRowHeight="14.5" x14ac:dyDescent="0.35"/>
  <cols>
    <col min="2" max="2" width="92.08984375" customWidth="1"/>
    <col min="3" max="3" width="12.453125" customWidth="1"/>
    <col min="4" max="4" width="12.36328125" customWidth="1"/>
    <col min="6" max="6" width="14.36328125" customWidth="1"/>
  </cols>
  <sheetData>
    <row r="2" spans="2:9" x14ac:dyDescent="0.35">
      <c r="B2" s="1" t="s">
        <v>150</v>
      </c>
      <c r="C2" s="75"/>
      <c r="D2" s="75"/>
      <c r="E2" s="75"/>
      <c r="F2" s="75"/>
    </row>
    <row r="5" spans="2:9" x14ac:dyDescent="0.35">
      <c r="B5" s="1" t="s">
        <v>151</v>
      </c>
      <c r="C5" s="1"/>
      <c r="D5" s="1"/>
      <c r="E5" s="1"/>
      <c r="F5" s="1"/>
      <c r="G5" s="1"/>
      <c r="H5" s="1"/>
      <c r="I5" s="1"/>
    </row>
    <row r="6" spans="2:9" x14ac:dyDescent="0.35">
      <c r="B6" s="2" t="s">
        <v>2</v>
      </c>
      <c r="C6" s="2" t="s">
        <v>3</v>
      </c>
      <c r="D6" s="2" t="s">
        <v>4</v>
      </c>
    </row>
    <row r="8" spans="2:9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9" x14ac:dyDescent="0.35">
      <c r="B10" s="10" t="s">
        <v>152</v>
      </c>
      <c r="C10" s="10"/>
      <c r="D10" s="33" t="s">
        <v>8</v>
      </c>
      <c r="E10" s="34">
        <v>2.4899999999999999E-2</v>
      </c>
      <c r="F10" s="35" t="s">
        <v>9</v>
      </c>
      <c r="G10" s="44"/>
      <c r="H10" s="49"/>
      <c r="I10" s="44"/>
    </row>
    <row r="11" spans="2:9" x14ac:dyDescent="0.35">
      <c r="B11" s="10" t="s">
        <v>153</v>
      </c>
      <c r="C11" s="15"/>
      <c r="D11" s="33" t="s">
        <v>17</v>
      </c>
      <c r="E11" s="37">
        <v>2.4799999999999999E-2</v>
      </c>
      <c r="F11" s="38" t="s">
        <v>9</v>
      </c>
      <c r="G11" s="44"/>
      <c r="H11" s="49"/>
      <c r="I11" s="44"/>
    </row>
    <row r="12" spans="2:9" x14ac:dyDescent="0.35">
      <c r="B12" s="10" t="s">
        <v>154</v>
      </c>
      <c r="C12" s="15"/>
      <c r="D12" s="36" t="s">
        <v>20</v>
      </c>
      <c r="E12" s="37">
        <v>2.5000000000000001E-2</v>
      </c>
      <c r="F12" s="38" t="s">
        <v>9</v>
      </c>
      <c r="G12" s="44"/>
      <c r="H12" s="49"/>
      <c r="I12" s="44"/>
    </row>
    <row r="13" spans="2:9" x14ac:dyDescent="0.35">
      <c r="B13" s="10" t="s">
        <v>155</v>
      </c>
      <c r="C13" s="11"/>
      <c r="D13" s="36" t="s">
        <v>107</v>
      </c>
      <c r="E13" s="37">
        <v>2.4799999999999999E-2</v>
      </c>
      <c r="F13" s="38" t="s">
        <v>9</v>
      </c>
      <c r="G13" s="44"/>
      <c r="H13" s="49"/>
      <c r="I13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13"/>
  <sheetViews>
    <sheetView workbookViewId="0"/>
  </sheetViews>
  <sheetFormatPr baseColWidth="10" defaultRowHeight="14.5" x14ac:dyDescent="0.35"/>
  <cols>
    <col min="2" max="2" width="92.90625" customWidth="1"/>
    <col min="3" max="3" width="12.08984375" customWidth="1"/>
    <col min="4" max="4" width="12.54296875" customWidth="1"/>
    <col min="7" max="7" width="14.1796875" customWidth="1"/>
    <col min="8" max="8" width="13" customWidth="1"/>
  </cols>
  <sheetData>
    <row r="2" spans="2:9" x14ac:dyDescent="0.35">
      <c r="B2" s="1" t="s">
        <v>156</v>
      </c>
      <c r="C2" s="75"/>
      <c r="D2" s="75"/>
      <c r="E2" s="75"/>
      <c r="F2" s="75"/>
      <c r="G2" s="75"/>
    </row>
    <row r="5" spans="2:9" x14ac:dyDescent="0.35">
      <c r="B5" s="1" t="s">
        <v>157</v>
      </c>
      <c r="C5" s="1"/>
      <c r="D5" s="1"/>
      <c r="E5" s="1"/>
      <c r="F5" s="1"/>
      <c r="G5" s="1"/>
      <c r="H5" s="1"/>
      <c r="I5" s="1"/>
    </row>
    <row r="6" spans="2:9" x14ac:dyDescent="0.35">
      <c r="B6" s="44"/>
      <c r="C6" s="44"/>
      <c r="D6" s="44"/>
    </row>
    <row r="8" spans="2:9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9" x14ac:dyDescent="0.35">
      <c r="B10" s="10" t="s">
        <v>158</v>
      </c>
      <c r="C10" s="10"/>
      <c r="D10" s="33" t="s">
        <v>8</v>
      </c>
      <c r="E10" s="34">
        <v>2.3800000000000002E-2</v>
      </c>
      <c r="F10" s="35" t="s">
        <v>9</v>
      </c>
      <c r="G10" s="44"/>
      <c r="H10" s="49"/>
      <c r="I10" s="44"/>
    </row>
    <row r="11" spans="2:9" x14ac:dyDescent="0.35">
      <c r="B11" s="10" t="s">
        <v>159</v>
      </c>
      <c r="C11" s="15"/>
      <c r="D11" s="33" t="s">
        <v>17</v>
      </c>
      <c r="E11" s="37">
        <v>2.3699999999999999E-2</v>
      </c>
      <c r="F11" s="38" t="s">
        <v>9</v>
      </c>
      <c r="G11" s="44"/>
      <c r="H11" s="49"/>
      <c r="I11" s="44"/>
    </row>
    <row r="12" spans="2:9" x14ac:dyDescent="0.35">
      <c r="B12" s="10" t="s">
        <v>160</v>
      </c>
      <c r="C12" s="15"/>
      <c r="D12" s="36" t="s">
        <v>20</v>
      </c>
      <c r="E12" s="37">
        <v>2.3800000000000002E-2</v>
      </c>
      <c r="F12" s="38" t="s">
        <v>9</v>
      </c>
      <c r="G12" s="44"/>
      <c r="H12" s="49"/>
      <c r="I12" s="44"/>
    </row>
    <row r="13" spans="2:9" x14ac:dyDescent="0.35">
      <c r="B13" s="10" t="s">
        <v>161</v>
      </c>
      <c r="C13" s="11"/>
      <c r="D13" s="36" t="s">
        <v>107</v>
      </c>
      <c r="E13" s="37">
        <v>2.3699999999999999E-2</v>
      </c>
      <c r="F13" s="38" t="s">
        <v>9</v>
      </c>
      <c r="G13" s="44"/>
      <c r="H13" s="49"/>
      <c r="I13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13"/>
  <sheetViews>
    <sheetView workbookViewId="0"/>
  </sheetViews>
  <sheetFormatPr baseColWidth="10" defaultRowHeight="14.5" x14ac:dyDescent="0.35"/>
  <cols>
    <col min="2" max="2" width="104.36328125" customWidth="1"/>
  </cols>
  <sheetData>
    <row r="2" spans="2:9" x14ac:dyDescent="0.35">
      <c r="B2" s="1" t="s">
        <v>162</v>
      </c>
      <c r="C2" s="75"/>
    </row>
    <row r="5" spans="2:9" x14ac:dyDescent="0.35">
      <c r="B5" s="1" t="s">
        <v>163</v>
      </c>
      <c r="C5" s="1"/>
      <c r="D5" s="1"/>
      <c r="E5" s="1"/>
      <c r="F5" s="1"/>
      <c r="G5" s="1"/>
      <c r="H5" s="1"/>
      <c r="I5" s="1"/>
    </row>
    <row r="6" spans="2:9" x14ac:dyDescent="0.35">
      <c r="B6" s="2" t="s">
        <v>2</v>
      </c>
      <c r="C6" s="2" t="s">
        <v>3</v>
      </c>
      <c r="D6" s="2" t="s">
        <v>4</v>
      </c>
    </row>
    <row r="8" spans="2:9" x14ac:dyDescent="0.35">
      <c r="C8" s="2" t="s">
        <v>5</v>
      </c>
      <c r="D8" s="2"/>
      <c r="E8" s="2"/>
      <c r="F8" s="2"/>
      <c r="G8" s="2" t="s">
        <v>164</v>
      </c>
      <c r="H8" s="2" t="s">
        <v>6</v>
      </c>
    </row>
    <row r="10" spans="2:9" x14ac:dyDescent="0.35">
      <c r="B10" s="65" t="s">
        <v>165</v>
      </c>
      <c r="C10" s="66"/>
      <c r="D10" s="67" t="s">
        <v>8</v>
      </c>
      <c r="E10" s="68">
        <v>2.5000000000000001E-2</v>
      </c>
      <c r="F10" s="67" t="s">
        <v>9</v>
      </c>
      <c r="G10" s="69" t="s">
        <v>10</v>
      </c>
      <c r="H10" s="68">
        <v>3.6600000000000001E-2</v>
      </c>
      <c r="I10" s="67" t="s">
        <v>9</v>
      </c>
    </row>
    <row r="11" spans="2:9" x14ac:dyDescent="0.35">
      <c r="B11" s="70" t="s">
        <v>166</v>
      </c>
      <c r="C11" s="71"/>
      <c r="D11" s="72" t="s">
        <v>17</v>
      </c>
      <c r="E11" s="73">
        <v>2.4899999999999999E-2</v>
      </c>
      <c r="F11" s="72" t="s">
        <v>9</v>
      </c>
      <c r="G11" s="74" t="s">
        <v>18</v>
      </c>
      <c r="H11" s="73">
        <v>3.6799999999999999E-2</v>
      </c>
      <c r="I11" s="72" t="s">
        <v>9</v>
      </c>
    </row>
    <row r="12" spans="2:9" x14ac:dyDescent="0.35">
      <c r="B12" s="70" t="s">
        <v>167</v>
      </c>
      <c r="C12" s="71"/>
      <c r="D12" s="72" t="s">
        <v>20</v>
      </c>
      <c r="E12" s="73">
        <v>2.52E-2</v>
      </c>
      <c r="F12" s="72" t="s">
        <v>9</v>
      </c>
      <c r="G12" s="74" t="s">
        <v>21</v>
      </c>
      <c r="H12" s="73">
        <v>3.5999999999999997E-2</v>
      </c>
      <c r="I12" s="72" t="s">
        <v>9</v>
      </c>
    </row>
    <row r="13" spans="2:9" x14ac:dyDescent="0.35">
      <c r="B13" s="70" t="s">
        <v>168</v>
      </c>
      <c r="C13" s="71"/>
      <c r="D13" s="72" t="s">
        <v>23</v>
      </c>
      <c r="E13" s="73">
        <v>2.5100000000000001E-2</v>
      </c>
      <c r="F13" s="72" t="s">
        <v>9</v>
      </c>
      <c r="G13" s="74" t="s">
        <v>24</v>
      </c>
      <c r="H13" s="73">
        <v>3.6299999999999999E-2</v>
      </c>
      <c r="I13" s="35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3"/>
  <sheetViews>
    <sheetView workbookViewId="0"/>
  </sheetViews>
  <sheetFormatPr baseColWidth="10" defaultRowHeight="14.5" x14ac:dyDescent="0.35"/>
  <cols>
    <col min="2" max="2" width="91.81640625" customWidth="1"/>
    <col min="3" max="3" width="16.08984375" customWidth="1"/>
    <col min="4" max="4" width="12.453125" customWidth="1"/>
    <col min="7" max="7" width="12.54296875" customWidth="1"/>
    <col min="8" max="8" width="12.453125" customWidth="1"/>
  </cols>
  <sheetData>
    <row r="2" spans="2:9" x14ac:dyDescent="0.35">
      <c r="B2" s="1" t="s">
        <v>169</v>
      </c>
      <c r="C2" s="75"/>
    </row>
    <row r="5" spans="2:9" x14ac:dyDescent="0.35">
      <c r="B5" s="1" t="s">
        <v>170</v>
      </c>
      <c r="C5" s="1"/>
      <c r="D5" s="1"/>
      <c r="E5" s="1"/>
      <c r="F5" s="1"/>
      <c r="G5" s="1"/>
      <c r="H5" s="1"/>
      <c r="I5" s="1"/>
    </row>
    <row r="6" spans="2:9" x14ac:dyDescent="0.35">
      <c r="B6" s="2" t="s">
        <v>2</v>
      </c>
      <c r="C6" s="2" t="s">
        <v>3</v>
      </c>
      <c r="D6" s="2" t="s">
        <v>4</v>
      </c>
    </row>
    <row r="8" spans="2:9" x14ac:dyDescent="0.35">
      <c r="C8" s="2" t="s">
        <v>5</v>
      </c>
      <c r="D8" s="2"/>
      <c r="E8" s="2"/>
      <c r="F8" s="2"/>
      <c r="G8" s="2" t="s">
        <v>164</v>
      </c>
      <c r="H8" s="2" t="s">
        <v>6</v>
      </c>
    </row>
    <row r="10" spans="2:9" x14ac:dyDescent="0.35">
      <c r="B10" s="65" t="s">
        <v>171</v>
      </c>
      <c r="C10" s="66"/>
      <c r="D10" s="67" t="s">
        <v>8</v>
      </c>
      <c r="E10" s="68">
        <v>2.4199999999999999E-2</v>
      </c>
      <c r="F10" s="67" t="s">
        <v>9</v>
      </c>
      <c r="G10" s="69" t="s">
        <v>10</v>
      </c>
      <c r="H10" s="68">
        <v>3.6700000000000003E-2</v>
      </c>
      <c r="I10" s="67" t="s">
        <v>9</v>
      </c>
    </row>
    <row r="11" spans="2:9" x14ac:dyDescent="0.35">
      <c r="B11" s="70" t="s">
        <v>172</v>
      </c>
      <c r="C11" s="71"/>
      <c r="D11" s="72" t="s">
        <v>17</v>
      </c>
      <c r="E11" s="73">
        <v>2.46E-2</v>
      </c>
      <c r="F11" s="72" t="s">
        <v>9</v>
      </c>
      <c r="G11" s="74" t="s">
        <v>18</v>
      </c>
      <c r="H11" s="73">
        <v>3.6999999999999998E-2</v>
      </c>
      <c r="I11" s="72" t="s">
        <v>9</v>
      </c>
    </row>
    <row r="12" spans="2:9" x14ac:dyDescent="0.35">
      <c r="B12" s="70" t="s">
        <v>173</v>
      </c>
      <c r="C12" s="71"/>
      <c r="D12" s="72" t="s">
        <v>20</v>
      </c>
      <c r="E12" s="73">
        <v>2.47E-2</v>
      </c>
      <c r="F12" s="72" t="s">
        <v>9</v>
      </c>
      <c r="G12" s="74" t="s">
        <v>21</v>
      </c>
      <c r="H12" s="73">
        <v>3.7199999999999997E-2</v>
      </c>
      <c r="I12" s="72" t="s">
        <v>9</v>
      </c>
    </row>
    <row r="13" spans="2:9" x14ac:dyDescent="0.35">
      <c r="B13" s="70" t="s">
        <v>174</v>
      </c>
      <c r="C13" s="71"/>
      <c r="D13" s="72" t="s">
        <v>23</v>
      </c>
      <c r="E13" s="73">
        <v>2.46E-2</v>
      </c>
      <c r="F13" s="72" t="s">
        <v>9</v>
      </c>
      <c r="G13" s="74" t="s">
        <v>24</v>
      </c>
      <c r="H13" s="73">
        <v>3.7400000000000003E-2</v>
      </c>
      <c r="I13" s="35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13"/>
  <sheetViews>
    <sheetView workbookViewId="0"/>
  </sheetViews>
  <sheetFormatPr baseColWidth="10" defaultRowHeight="14.5" x14ac:dyDescent="0.35"/>
  <cols>
    <col min="2" max="2" width="92.453125" customWidth="1"/>
    <col min="3" max="3" width="12.08984375" customWidth="1"/>
    <col min="4" max="4" width="13" customWidth="1"/>
    <col min="6" max="6" width="12.6328125" customWidth="1"/>
    <col min="8" max="8" width="13.36328125" customWidth="1"/>
  </cols>
  <sheetData>
    <row r="2" spans="2:9" x14ac:dyDescent="0.35">
      <c r="B2" s="1" t="s">
        <v>175</v>
      </c>
      <c r="C2" s="75"/>
      <c r="D2" s="75"/>
      <c r="E2" s="75"/>
      <c r="F2" s="75"/>
    </row>
    <row r="5" spans="2:9" x14ac:dyDescent="0.35">
      <c r="B5" s="1" t="s">
        <v>176</v>
      </c>
      <c r="C5" s="1"/>
      <c r="D5" s="1"/>
      <c r="E5" s="1"/>
      <c r="F5" s="1"/>
      <c r="G5" s="1"/>
      <c r="H5" s="1"/>
      <c r="I5" s="1"/>
    </row>
    <row r="6" spans="2:9" x14ac:dyDescent="0.35">
      <c r="B6" s="2" t="s">
        <v>2</v>
      </c>
      <c r="C6" s="2" t="s">
        <v>3</v>
      </c>
      <c r="D6" s="2" t="s">
        <v>4</v>
      </c>
    </row>
    <row r="8" spans="2:9" x14ac:dyDescent="0.35">
      <c r="C8" s="2" t="s">
        <v>5</v>
      </c>
      <c r="D8" s="2"/>
      <c r="E8" s="2"/>
      <c r="F8" s="2"/>
      <c r="G8" s="2" t="s">
        <v>6</v>
      </c>
      <c r="H8" s="2" t="s">
        <v>84</v>
      </c>
    </row>
    <row r="10" spans="2:9" x14ac:dyDescent="0.35">
      <c r="B10" s="10" t="s">
        <v>177</v>
      </c>
      <c r="C10" s="10"/>
      <c r="D10" s="33" t="s">
        <v>8</v>
      </c>
      <c r="E10" s="34">
        <v>2.46E-2</v>
      </c>
      <c r="F10" s="35" t="s">
        <v>9</v>
      </c>
      <c r="G10" s="44"/>
      <c r="H10" s="49"/>
      <c r="I10" s="44"/>
    </row>
    <row r="11" spans="2:9" x14ac:dyDescent="0.35">
      <c r="B11" s="10" t="s">
        <v>178</v>
      </c>
      <c r="C11" s="15"/>
      <c r="D11" s="33" t="s">
        <v>17</v>
      </c>
      <c r="E11" s="37">
        <v>2.4500000000000001E-2</v>
      </c>
      <c r="F11" s="38" t="s">
        <v>9</v>
      </c>
      <c r="G11" s="44"/>
      <c r="H11" s="49"/>
      <c r="I11" s="44"/>
    </row>
    <row r="12" spans="2:9" x14ac:dyDescent="0.35">
      <c r="B12" s="10" t="s">
        <v>179</v>
      </c>
      <c r="C12" s="15"/>
      <c r="D12" s="36" t="s">
        <v>20</v>
      </c>
      <c r="E12" s="37">
        <v>2.4299999999999999E-2</v>
      </c>
      <c r="F12" s="38" t="s">
        <v>9</v>
      </c>
      <c r="G12" s="44"/>
      <c r="H12" s="49"/>
      <c r="I12" s="44"/>
    </row>
    <row r="13" spans="2:9" x14ac:dyDescent="0.35">
      <c r="B13" s="10" t="s">
        <v>180</v>
      </c>
      <c r="C13" s="11"/>
      <c r="D13" s="36" t="s">
        <v>107</v>
      </c>
      <c r="E13" s="37">
        <v>2.46E-2</v>
      </c>
      <c r="F13" s="38" t="s">
        <v>9</v>
      </c>
      <c r="G13" s="44"/>
      <c r="H13" s="49"/>
      <c r="I13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F96"/>
  <sheetViews>
    <sheetView workbookViewId="0"/>
  </sheetViews>
  <sheetFormatPr baseColWidth="10" defaultRowHeight="14.5" x14ac:dyDescent="0.35"/>
  <cols>
    <col min="2" max="2" width="35.81640625" customWidth="1"/>
    <col min="4" max="4" width="13.453125" customWidth="1"/>
    <col min="5" max="5" width="14.36328125" customWidth="1"/>
    <col min="8" max="8" width="25.6328125" customWidth="1"/>
    <col min="10" max="10" width="32.81640625" customWidth="1"/>
    <col min="11" max="11" width="13.81640625" customWidth="1"/>
    <col min="12" max="12" width="20.36328125" customWidth="1"/>
    <col min="13" max="13" width="19.08984375" customWidth="1"/>
    <col min="16" max="16" width="19.90625" customWidth="1"/>
    <col min="18" max="18" width="20.54296875" customWidth="1"/>
  </cols>
  <sheetData>
    <row r="2" spans="2:19" x14ac:dyDescent="0.35">
      <c r="B2" s="1" t="s">
        <v>181</v>
      </c>
      <c r="C2" s="75"/>
      <c r="D2" s="75"/>
      <c r="E2" s="75"/>
      <c r="F2" s="75"/>
      <c r="G2" s="75"/>
      <c r="H2" s="75"/>
    </row>
    <row r="5" spans="2:19" x14ac:dyDescent="0.35">
      <c r="B5" s="1" t="s">
        <v>182</v>
      </c>
      <c r="C5" s="1"/>
      <c r="D5" s="1"/>
      <c r="E5" s="1"/>
      <c r="F5" s="1"/>
      <c r="G5" s="1"/>
      <c r="H5" s="1"/>
      <c r="I5" s="1"/>
    </row>
    <row r="6" spans="2:19" x14ac:dyDescent="0.35">
      <c r="B6" s="2" t="s">
        <v>2</v>
      </c>
      <c r="C6" s="2" t="s">
        <v>3</v>
      </c>
      <c r="D6" s="2" t="s">
        <v>4</v>
      </c>
    </row>
    <row r="8" spans="2:19" x14ac:dyDescent="0.35">
      <c r="C8" s="2" t="s">
        <v>5</v>
      </c>
      <c r="D8" s="2"/>
      <c r="E8" s="2"/>
      <c r="F8" s="2"/>
      <c r="G8" s="2" t="s">
        <v>6</v>
      </c>
      <c r="H8" s="2" t="s">
        <v>6</v>
      </c>
    </row>
    <row r="10" spans="2:19" x14ac:dyDescent="0.35">
      <c r="B10" s="10" t="s">
        <v>183</v>
      </c>
      <c r="C10" s="10"/>
      <c r="D10" s="33" t="s">
        <v>8</v>
      </c>
      <c r="E10" s="34">
        <v>2.4899999999999999E-2</v>
      </c>
      <c r="F10" s="35" t="s">
        <v>9</v>
      </c>
      <c r="G10" s="33" t="s">
        <v>10</v>
      </c>
      <c r="H10" s="34">
        <v>3.5999999999999997E-2</v>
      </c>
      <c r="I10" s="35" t="s">
        <v>9</v>
      </c>
      <c r="J10" s="23" t="s">
        <v>11</v>
      </c>
      <c r="K10" s="24">
        <f>(H10*1000-'Material - Abmessungen'!E25)*'Material - Abmessungen'!E20*0.96</f>
        <v>5.2863871211999989</v>
      </c>
      <c r="L10" s="25" t="s">
        <v>12</v>
      </c>
      <c r="M10" s="23" t="s">
        <v>13</v>
      </c>
      <c r="N10" s="26">
        <v>4.9509999999999996</v>
      </c>
      <c r="O10" s="27" t="s">
        <v>12</v>
      </c>
      <c r="P10" s="17" t="s">
        <v>14</v>
      </c>
      <c r="Q10" s="18">
        <f>((E10*1000-'Material - Abmessungen'!E17-('Material - Abmessungen'!E51*1000))*'Material - Abmessungen'!E10*0.697)/K10</f>
        <v>3.6822867043097203</v>
      </c>
      <c r="R10" s="17" t="s">
        <v>15</v>
      </c>
      <c r="S10" s="19">
        <f>Q10^(-1)</f>
        <v>0.27157038011994222</v>
      </c>
    </row>
    <row r="11" spans="2:19" x14ac:dyDescent="0.35">
      <c r="B11" s="10" t="s">
        <v>184</v>
      </c>
      <c r="C11" s="15"/>
      <c r="D11" s="33" t="s">
        <v>17</v>
      </c>
      <c r="E11" s="37">
        <v>2.4799999999999999E-2</v>
      </c>
      <c r="F11" s="38" t="s">
        <v>9</v>
      </c>
      <c r="G11" s="36" t="s">
        <v>18</v>
      </c>
      <c r="H11" s="37">
        <v>3.5999999999999997E-2</v>
      </c>
      <c r="I11" s="38" t="s">
        <v>9</v>
      </c>
      <c r="J11" s="23" t="s">
        <v>11</v>
      </c>
      <c r="K11" s="29">
        <f>(H11*1000-'Material - Abmessungen'!E25)*'Material - Abmessungen'!E20*0.96</f>
        <v>5.2863871211999989</v>
      </c>
      <c r="L11" s="30" t="s">
        <v>12</v>
      </c>
      <c r="M11" s="28" t="s">
        <v>13</v>
      </c>
      <c r="N11" s="31">
        <v>4.9236000000000004</v>
      </c>
      <c r="O11" s="32" t="s">
        <v>12</v>
      </c>
      <c r="P11" s="20" t="s">
        <v>14</v>
      </c>
      <c r="Q11" s="21">
        <f>((E11*1000-'Material - Abmessungen'!E17-('Material - Abmessungen'!E51*1000))*'Material - Abmessungen'!E10*0.697)/K11</f>
        <v>3.6350982759406354</v>
      </c>
      <c r="R11" s="20" t="s">
        <v>15</v>
      </c>
      <c r="S11" s="22">
        <f t="shared" ref="S11:S13" si="0">Q11^(-1)</f>
        <v>0.27509572619222661</v>
      </c>
    </row>
    <row r="12" spans="2:19" x14ac:dyDescent="0.35">
      <c r="B12" s="10" t="s">
        <v>185</v>
      </c>
      <c r="C12" s="15"/>
      <c r="D12" s="36" t="s">
        <v>20</v>
      </c>
      <c r="E12" s="37">
        <v>2.4799999999999999E-2</v>
      </c>
      <c r="F12" s="38" t="s">
        <v>9</v>
      </c>
      <c r="G12" s="36" t="s">
        <v>21</v>
      </c>
      <c r="H12" s="37">
        <v>3.6200000000000003E-2</v>
      </c>
      <c r="I12" s="38" t="s">
        <v>9</v>
      </c>
      <c r="J12" s="23" t="s">
        <v>11</v>
      </c>
      <c r="K12" s="29">
        <f>(H12*1000-'Material - Abmessungen'!E25)*'Material - Abmessungen'!E20*0.96</f>
        <v>5.3219071211999998</v>
      </c>
      <c r="L12" s="30" t="s">
        <v>12</v>
      </c>
      <c r="M12" s="28" t="s">
        <v>13</v>
      </c>
      <c r="N12" s="31">
        <v>4.9381000000000004</v>
      </c>
      <c r="O12" s="32" t="s">
        <v>12</v>
      </c>
      <c r="P12" s="20" t="s">
        <v>14</v>
      </c>
      <c r="Q12" s="21">
        <f>((E12*1000-'Material - Abmessungen'!E17-('Material - Abmessungen'!E51*1000))*'Material - Abmessungen'!E10*0.697)/K12</f>
        <v>3.6108365427271663</v>
      </c>
      <c r="R12" s="20" t="s">
        <v>15</v>
      </c>
      <c r="S12" s="22">
        <f t="shared" si="0"/>
        <v>0.27694413418247044</v>
      </c>
    </row>
    <row r="13" spans="2:19" x14ac:dyDescent="0.35">
      <c r="B13" s="10" t="s">
        <v>186</v>
      </c>
      <c r="C13" s="11"/>
      <c r="D13" s="36" t="s">
        <v>23</v>
      </c>
      <c r="E13" s="37">
        <v>2.4899999999999999E-2</v>
      </c>
      <c r="F13" s="38" t="s">
        <v>9</v>
      </c>
      <c r="G13" s="36" t="s">
        <v>24</v>
      </c>
      <c r="H13" s="37">
        <v>3.6200000000000003E-2</v>
      </c>
      <c r="I13" s="38" t="s">
        <v>9</v>
      </c>
      <c r="J13" s="23" t="s">
        <v>11</v>
      </c>
      <c r="K13" s="29">
        <f>(H13*1000-'Material - Abmessungen'!E25)*'Material - Abmessungen'!E20*0.96</f>
        <v>5.3219071211999998</v>
      </c>
      <c r="L13" s="30" t="s">
        <v>12</v>
      </c>
      <c r="M13" s="28" t="s">
        <v>13</v>
      </c>
      <c r="N13" s="31">
        <v>4.9612999999999996</v>
      </c>
      <c r="O13" s="32" t="s">
        <v>12</v>
      </c>
      <c r="P13" s="40" t="s">
        <v>14</v>
      </c>
      <c r="Q13" s="21">
        <f>((E13*1000-'Material - Abmessungen'!E17-('Material - Abmessungen'!E51*1000))*'Material - Abmessungen'!E10*0.697)/K13</f>
        <v>3.6577100214104528</v>
      </c>
      <c r="R13" s="40" t="s">
        <v>15</v>
      </c>
      <c r="S13" s="22">
        <f t="shared" si="0"/>
        <v>0.27339510079981383</v>
      </c>
    </row>
    <row r="15" spans="2:19" x14ac:dyDescent="0.35">
      <c r="D15" s="14" t="s">
        <v>31</v>
      </c>
      <c r="E15" s="14"/>
      <c r="F15" s="14"/>
      <c r="G15" s="14"/>
      <c r="H15" s="14"/>
      <c r="I15" s="14"/>
      <c r="J15" s="14"/>
      <c r="K15" s="14"/>
    </row>
    <row r="16" spans="2:19" x14ac:dyDescent="0.35">
      <c r="F16" t="s">
        <v>32</v>
      </c>
      <c r="G16" t="s">
        <v>33</v>
      </c>
      <c r="H16" t="s">
        <v>34</v>
      </c>
      <c r="I16" t="s">
        <v>35</v>
      </c>
    </row>
    <row r="17" spans="2:13" x14ac:dyDescent="0.35">
      <c r="D17" s="10" t="s">
        <v>38</v>
      </c>
      <c r="E17" s="10"/>
      <c r="F17" s="10">
        <v>6.1211000000000002</v>
      </c>
      <c r="G17" s="10">
        <v>6.13</v>
      </c>
      <c r="H17" s="10">
        <v>6.0793999999999997</v>
      </c>
      <c r="I17" s="10">
        <v>6.109</v>
      </c>
    </row>
    <row r="18" spans="2:13" x14ac:dyDescent="0.35">
      <c r="D18" s="11" t="s">
        <v>39</v>
      </c>
      <c r="E18" s="11"/>
      <c r="F18" s="11">
        <v>0.1043</v>
      </c>
      <c r="G18" s="11">
        <v>0.1013</v>
      </c>
      <c r="H18" s="11">
        <v>0.1013</v>
      </c>
      <c r="I18" s="11">
        <v>0.1008</v>
      </c>
    </row>
    <row r="19" spans="2:13" x14ac:dyDescent="0.35">
      <c r="D19" s="11" t="s">
        <v>40</v>
      </c>
      <c r="E19" s="11"/>
      <c r="F19" s="11">
        <v>4.9809000000000001</v>
      </c>
      <c r="G19" s="11">
        <v>4.9542999999999999</v>
      </c>
      <c r="H19" s="11">
        <v>4.9615999999999998</v>
      </c>
      <c r="I19" s="11">
        <v>4.9851000000000001</v>
      </c>
      <c r="M19" t="s">
        <v>41</v>
      </c>
    </row>
    <row r="20" spans="2:13" x14ac:dyDescent="0.35">
      <c r="D20" t="s">
        <v>42</v>
      </c>
      <c r="F20" s="12">
        <f>F19/(F17+F18)</f>
        <v>0.80009316670414743</v>
      </c>
      <c r="G20" s="12">
        <f t="shared" ref="G20:I20" si="1">G19/(G17+G18)</f>
        <v>0.79506683998523575</v>
      </c>
      <c r="H20" s="12">
        <f t="shared" si="1"/>
        <v>0.80275696927532481</v>
      </c>
      <c r="I20" s="12">
        <f t="shared" si="1"/>
        <v>0.80277947759992274</v>
      </c>
      <c r="J20" t="s">
        <v>43</v>
      </c>
      <c r="K20" s="13">
        <f>(F20+G20+H20+I20)/4</f>
        <v>0.80017411339115774</v>
      </c>
      <c r="M20" s="39">
        <f>_xlfn.STDEV.S(F20,G20,H20,I20)</f>
        <v>3.6308796540997267E-3</v>
      </c>
    </row>
    <row r="22" spans="2:13" x14ac:dyDescent="0.35">
      <c r="D22" s="10" t="s">
        <v>44</v>
      </c>
      <c r="E22" s="10"/>
      <c r="F22" s="10">
        <v>4.9294000000000002</v>
      </c>
      <c r="G22" s="10">
        <v>4.9038000000000004</v>
      </c>
      <c r="H22" s="10">
        <v>4.9147999999999996</v>
      </c>
      <c r="I22" s="10">
        <v>4.9394999999999998</v>
      </c>
    </row>
    <row r="23" spans="2:13" x14ac:dyDescent="0.35">
      <c r="D23" s="11" t="s">
        <v>45</v>
      </c>
      <c r="E23" s="11"/>
      <c r="F23" s="11">
        <v>9.4299999999999995E-2</v>
      </c>
      <c r="G23" s="11">
        <v>9.4E-2</v>
      </c>
      <c r="H23" s="11">
        <v>8.9399999999999993E-2</v>
      </c>
      <c r="I23" s="11">
        <v>8.9700000000000002E-2</v>
      </c>
    </row>
    <row r="24" spans="2:13" x14ac:dyDescent="0.35">
      <c r="D24" s="11" t="s">
        <v>46</v>
      </c>
      <c r="E24" s="11"/>
      <c r="F24" s="11">
        <v>4.9509999999999996</v>
      </c>
      <c r="G24" s="11">
        <v>4.9236000000000004</v>
      </c>
      <c r="H24" s="11">
        <v>4.9381000000000004</v>
      </c>
      <c r="I24" s="11">
        <v>4.9612999999999996</v>
      </c>
      <c r="M24" t="s">
        <v>41</v>
      </c>
    </row>
    <row r="25" spans="2:13" x14ac:dyDescent="0.35">
      <c r="D25" t="s">
        <v>42</v>
      </c>
      <c r="F25" s="12">
        <f>F24/(F22+F23)</f>
        <v>0.98552859446224894</v>
      </c>
      <c r="G25" s="12">
        <f t="shared" ref="G25:I25" si="2">G24/(G22+G23)</f>
        <v>0.98515346752571131</v>
      </c>
      <c r="H25" s="12">
        <f t="shared" si="2"/>
        <v>0.98679109547979704</v>
      </c>
      <c r="I25" s="12">
        <f t="shared" si="2"/>
        <v>0.98649884673506727</v>
      </c>
      <c r="J25" t="s">
        <v>43</v>
      </c>
      <c r="K25" s="13">
        <f>(F25+G25+H25+I25)/4</f>
        <v>0.98599300105070609</v>
      </c>
      <c r="M25" s="39">
        <f>_xlfn.STDEV.S(F25,G25,H25,I25)</f>
        <v>7.7745837897716581E-4</v>
      </c>
    </row>
    <row r="28" spans="2:13" x14ac:dyDescent="0.35">
      <c r="B28" s="1" t="s">
        <v>115</v>
      </c>
      <c r="C28" s="1"/>
      <c r="D28" s="1"/>
      <c r="E28" s="1"/>
      <c r="F28" s="1"/>
      <c r="G28" s="1"/>
      <c r="H28" s="1"/>
      <c r="I28" s="1"/>
    </row>
    <row r="29" spans="2:13" x14ac:dyDescent="0.35">
      <c r="B29" s="2" t="s">
        <v>2</v>
      </c>
      <c r="C29" s="2" t="s">
        <v>3</v>
      </c>
      <c r="D29" s="2" t="s">
        <v>4</v>
      </c>
    </row>
    <row r="31" spans="2:13" x14ac:dyDescent="0.35">
      <c r="C31" s="2" t="s">
        <v>5</v>
      </c>
      <c r="D31" s="2"/>
      <c r="E31" s="2"/>
      <c r="F31" s="2"/>
      <c r="G31" s="2" t="s">
        <v>6</v>
      </c>
      <c r="H31" s="2" t="s">
        <v>6</v>
      </c>
    </row>
    <row r="33" spans="2:32" x14ac:dyDescent="0.35">
      <c r="B33" s="10" t="s">
        <v>187</v>
      </c>
      <c r="C33" s="10"/>
      <c r="D33" s="33" t="s">
        <v>8</v>
      </c>
      <c r="E33" s="34">
        <v>2.4799999999999999E-2</v>
      </c>
      <c r="F33" s="35" t="s">
        <v>9</v>
      </c>
      <c r="G33" s="33" t="s">
        <v>10</v>
      </c>
      <c r="H33" s="34">
        <v>3.6600000000000001E-2</v>
      </c>
      <c r="I33" s="35" t="s">
        <v>9</v>
      </c>
      <c r="J33" s="23" t="s">
        <v>11</v>
      </c>
      <c r="K33" s="24">
        <f>(H33*1000-'Material - Abmessungen'!E25)*'Material - Abmessungen'!E20*0.96</f>
        <v>5.3929471211999997</v>
      </c>
      <c r="L33" s="25" t="s">
        <v>12</v>
      </c>
      <c r="M33" s="23" t="s">
        <v>13</v>
      </c>
      <c r="N33" s="26">
        <v>4.9497</v>
      </c>
      <c r="O33" s="27" t="s">
        <v>12</v>
      </c>
      <c r="P33" s="17" t="s">
        <v>14</v>
      </c>
      <c r="Q33" s="18">
        <f>((E33*1000-'Material - Abmessungen'!E17-('Material - Abmessungen'!E51*1000))*'Material - Abmessungen'!E10*0.697)/K33</f>
        <v>3.5632718582920146</v>
      </c>
      <c r="R33" s="17" t="s">
        <v>15</v>
      </c>
      <c r="S33" s="19">
        <f>Q33^(-1)</f>
        <v>0.28064095016295798</v>
      </c>
    </row>
    <row r="34" spans="2:32" x14ac:dyDescent="0.35">
      <c r="B34" s="10" t="s">
        <v>188</v>
      </c>
      <c r="C34" s="15"/>
      <c r="D34" s="33" t="s">
        <v>17</v>
      </c>
      <c r="E34" s="37">
        <v>2.4899999999999999E-2</v>
      </c>
      <c r="F34" s="38" t="s">
        <v>9</v>
      </c>
      <c r="G34" s="36" t="s">
        <v>18</v>
      </c>
      <c r="H34" s="37">
        <v>3.7600000000000001E-2</v>
      </c>
      <c r="I34" s="38" t="s">
        <v>9</v>
      </c>
      <c r="J34" s="28" t="s">
        <v>11</v>
      </c>
      <c r="K34" s="29">
        <f>(H34*1000-'Material - Abmessungen'!E25)*'Material - Abmessungen'!E20*0.96</f>
        <v>5.5705471211999997</v>
      </c>
      <c r="L34" s="30" t="s">
        <v>12</v>
      </c>
      <c r="M34" s="28" t="s">
        <v>13</v>
      </c>
      <c r="N34" s="31">
        <v>4.8948</v>
      </c>
      <c r="O34" s="32" t="s">
        <v>12</v>
      </c>
      <c r="P34" s="20" t="s">
        <v>14</v>
      </c>
      <c r="Q34" s="21">
        <f>((E34*1000-'Material - Abmessungen'!E17-('Material - Abmessungen'!E51*1000))*'Material - Abmessungen'!E10*0.697)/K34</f>
        <v>3.4944490346642207</v>
      </c>
      <c r="R34" s="20" t="s">
        <v>15</v>
      </c>
      <c r="S34" s="22">
        <f t="shared" ref="S34:S36" si="3">Q34^(-1)</f>
        <v>0.28616814555891479</v>
      </c>
    </row>
    <row r="35" spans="2:32" x14ac:dyDescent="0.35">
      <c r="B35" s="10" t="s">
        <v>189</v>
      </c>
      <c r="C35" s="15"/>
      <c r="D35" s="36" t="s">
        <v>20</v>
      </c>
      <c r="E35" s="37">
        <v>2.4899999999999999E-2</v>
      </c>
      <c r="F35" s="38" t="s">
        <v>9</v>
      </c>
      <c r="G35" s="36" t="s">
        <v>21</v>
      </c>
      <c r="H35" s="37">
        <v>3.6299999999999999E-2</v>
      </c>
      <c r="I35" s="38" t="s">
        <v>9</v>
      </c>
      <c r="J35" s="28" t="s">
        <v>11</v>
      </c>
      <c r="K35" s="29">
        <f>(H35*1000-'Material - Abmessungen'!E25)*'Material - Abmessungen'!E20*0.96</f>
        <v>5.3396671211999989</v>
      </c>
      <c r="L35" s="30" t="s">
        <v>12</v>
      </c>
      <c r="M35" s="28" t="s">
        <v>13</v>
      </c>
      <c r="N35" s="31">
        <v>5.0039999999999996</v>
      </c>
      <c r="O35" s="32" t="s">
        <v>12</v>
      </c>
      <c r="P35" s="20" t="s">
        <v>14</v>
      </c>
      <c r="Q35" s="21">
        <f>((E35*1000-'Material - Abmessungen'!E17-('Material - Abmessungen'!E51*1000))*'Material - Abmessungen'!E10*0.697)/K35</f>
        <v>3.64554429487624</v>
      </c>
      <c r="R35" s="20" t="s">
        <v>15</v>
      </c>
      <c r="S35" s="22">
        <f t="shared" si="3"/>
        <v>0.27430746113974958</v>
      </c>
    </row>
    <row r="36" spans="2:32" x14ac:dyDescent="0.35">
      <c r="B36" s="81" t="s">
        <v>190</v>
      </c>
      <c r="C36" s="85"/>
      <c r="D36" s="86" t="s">
        <v>23</v>
      </c>
      <c r="E36" s="84">
        <v>2.47E-2</v>
      </c>
      <c r="F36" s="85" t="s">
        <v>9</v>
      </c>
      <c r="G36" s="86" t="s">
        <v>24</v>
      </c>
      <c r="H36" s="84">
        <v>3.5999999999999997E-2</v>
      </c>
      <c r="I36" s="85" t="s">
        <v>9</v>
      </c>
      <c r="J36" s="86" t="s">
        <v>11</v>
      </c>
      <c r="K36" s="88">
        <f>(H36*1000-'Material - Abmessungen'!E25)*'Material - Abmessungen'!E20*0.96</f>
        <v>5.2863871211999989</v>
      </c>
      <c r="L36" s="85" t="s">
        <v>12</v>
      </c>
      <c r="M36" s="86" t="s">
        <v>13</v>
      </c>
      <c r="N36" s="84">
        <v>4.9321000000000002</v>
      </c>
      <c r="O36" s="82" t="s">
        <v>12</v>
      </c>
      <c r="P36" s="85" t="s">
        <v>14</v>
      </c>
      <c r="Q36" s="89">
        <f>((E36*1000-'Material - Abmessungen'!E17-('Material - Abmessungen'!E51*1000))*'Material - Abmessungen'!E10*0.697)/K36</f>
        <v>3.5879098475715496</v>
      </c>
      <c r="R36" s="85" t="s">
        <v>15</v>
      </c>
      <c r="S36" s="90">
        <f t="shared" si="3"/>
        <v>0.27871380343540197</v>
      </c>
      <c r="T36" s="91" t="s">
        <v>191</v>
      </c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</row>
    <row r="38" spans="2:32" x14ac:dyDescent="0.35">
      <c r="D38" s="14" t="s">
        <v>31</v>
      </c>
      <c r="E38" s="14"/>
      <c r="F38" s="14"/>
      <c r="G38" s="14"/>
      <c r="H38" s="14"/>
      <c r="I38" s="14"/>
      <c r="J38" s="14"/>
      <c r="K38" s="14"/>
    </row>
    <row r="39" spans="2:32" x14ac:dyDescent="0.35">
      <c r="F39" t="s">
        <v>32</v>
      </c>
      <c r="G39" t="s">
        <v>33</v>
      </c>
      <c r="H39" t="s">
        <v>34</v>
      </c>
      <c r="I39" s="91" t="s">
        <v>35</v>
      </c>
    </row>
    <row r="40" spans="2:32" x14ac:dyDescent="0.35">
      <c r="D40" s="10" t="s">
        <v>38</v>
      </c>
      <c r="E40" s="10"/>
      <c r="F40" s="10">
        <v>6.1379000000000001</v>
      </c>
      <c r="G40" s="10">
        <v>6.1101999999999999</v>
      </c>
      <c r="H40" s="10">
        <v>6.1764999999999999</v>
      </c>
      <c r="I40" s="81">
        <v>6.1157000000000004</v>
      </c>
    </row>
    <row r="41" spans="2:32" x14ac:dyDescent="0.35">
      <c r="D41" s="11" t="s">
        <v>39</v>
      </c>
      <c r="E41" s="11"/>
      <c r="F41" s="11">
        <v>0.1265</v>
      </c>
      <c r="G41" s="11">
        <v>0.1263</v>
      </c>
      <c r="H41" s="11">
        <v>0.10299999999999999</v>
      </c>
      <c r="I41" s="85">
        <v>0.1036</v>
      </c>
    </row>
    <row r="42" spans="2:32" x14ac:dyDescent="0.35">
      <c r="D42" s="11" t="s">
        <v>40</v>
      </c>
      <c r="E42" s="11"/>
      <c r="F42" s="11">
        <v>4.9675000000000002</v>
      </c>
      <c r="G42" s="11">
        <v>4.9180999999999999</v>
      </c>
      <c r="H42" s="11">
        <v>5.0240999999999998</v>
      </c>
      <c r="I42" s="85">
        <v>4.9584000000000001</v>
      </c>
      <c r="M42" t="s">
        <v>41</v>
      </c>
    </row>
    <row r="43" spans="2:32" x14ac:dyDescent="0.35">
      <c r="D43" t="s">
        <v>42</v>
      </c>
      <c r="F43" s="12">
        <f>F42/(F40+F41)</f>
        <v>0.79297299023050893</v>
      </c>
      <c r="G43" s="12">
        <f t="shared" ref="G43" si="4">G42/(G40+G41)</f>
        <v>0.78859937464924246</v>
      </c>
      <c r="H43" s="12">
        <f t="shared" ref="H43" si="5">H42/(H40+H41)</f>
        <v>0.80007962417389922</v>
      </c>
      <c r="I43" s="92">
        <f t="shared" ref="I43" si="6">I42/(I40+I41)</f>
        <v>0.7972601418166031</v>
      </c>
      <c r="J43" t="s">
        <v>43</v>
      </c>
      <c r="K43" s="13">
        <f>(F43+G43+H43)/3</f>
        <v>0.79388399635121676</v>
      </c>
      <c r="M43" s="39">
        <f>_xlfn.STDEV.S(F43,G43,H43)</f>
        <v>5.7940902134045978E-3</v>
      </c>
    </row>
    <row r="44" spans="2:32" x14ac:dyDescent="0.35">
      <c r="I44" s="91"/>
    </row>
    <row r="45" spans="2:32" x14ac:dyDescent="0.35">
      <c r="D45" s="10" t="s">
        <v>44</v>
      </c>
      <c r="E45" s="10"/>
      <c r="F45" s="10">
        <v>4.9096000000000002</v>
      </c>
      <c r="G45" s="10">
        <v>4.8545999999999996</v>
      </c>
      <c r="H45" s="10">
        <v>4.9783999999999997</v>
      </c>
      <c r="I45" s="81">
        <v>4.9095000000000004</v>
      </c>
    </row>
    <row r="46" spans="2:32" x14ac:dyDescent="0.35">
      <c r="D46" s="11" t="s">
        <v>45</v>
      </c>
      <c r="E46" s="11"/>
      <c r="F46" s="11">
        <v>0.10630000000000001</v>
      </c>
      <c r="G46" s="11">
        <v>0.1095</v>
      </c>
      <c r="H46" s="11">
        <v>8.8800000000000004E-2</v>
      </c>
      <c r="I46" s="85">
        <v>9.2299999999999993E-2</v>
      </c>
    </row>
    <row r="47" spans="2:32" x14ac:dyDescent="0.35">
      <c r="D47" s="11" t="s">
        <v>46</v>
      </c>
      <c r="E47" s="11"/>
      <c r="F47" s="11">
        <v>4.9497</v>
      </c>
      <c r="G47" s="11">
        <v>4.8948</v>
      </c>
      <c r="H47" s="11">
        <v>5.0039999999999996</v>
      </c>
      <c r="I47" s="85">
        <v>4.9321000000000002</v>
      </c>
      <c r="M47" t="s">
        <v>41</v>
      </c>
    </row>
    <row r="48" spans="2:32" x14ac:dyDescent="0.35">
      <c r="D48" t="s">
        <v>42</v>
      </c>
      <c r="F48" s="12">
        <f>F47/(F45+F46)</f>
        <v>0.98680196973623868</v>
      </c>
      <c r="G48" s="12">
        <f t="shared" ref="G48" si="7">G47/(G45+G46)</f>
        <v>0.98603976551640793</v>
      </c>
      <c r="H48" s="12">
        <f t="shared" ref="H48" si="8">H47/(H45+H46)</f>
        <v>0.98752762867066624</v>
      </c>
      <c r="I48" s="92">
        <f t="shared" ref="I48" si="9">I47/(I45+I46)</f>
        <v>0.98606501659402612</v>
      </c>
      <c r="J48" t="s">
        <v>43</v>
      </c>
      <c r="K48" s="13">
        <f>(F48+G48+H48)/3</f>
        <v>0.98678978797443762</v>
      </c>
      <c r="M48" s="39">
        <f>_xlfn.STDEV.S(F48,G48,H48)</f>
        <v>7.440063762766437E-4</v>
      </c>
    </row>
    <row r="51" spans="2:19" x14ac:dyDescent="0.35">
      <c r="B51" s="1" t="s">
        <v>119</v>
      </c>
      <c r="C51" s="1"/>
      <c r="D51" s="1"/>
      <c r="E51" s="1"/>
      <c r="F51" s="1"/>
      <c r="G51" s="1"/>
      <c r="H51" s="1"/>
      <c r="I51" s="1"/>
    </row>
    <row r="52" spans="2:19" x14ac:dyDescent="0.35">
      <c r="B52" s="2" t="s">
        <v>2</v>
      </c>
      <c r="C52" s="2" t="s">
        <v>3</v>
      </c>
      <c r="D52" s="2" t="s">
        <v>4</v>
      </c>
    </row>
    <row r="54" spans="2:19" x14ac:dyDescent="0.35">
      <c r="C54" s="2" t="s">
        <v>5</v>
      </c>
      <c r="D54" s="2"/>
      <c r="E54" s="2"/>
      <c r="F54" s="2"/>
      <c r="G54" s="2" t="s">
        <v>6</v>
      </c>
      <c r="H54" s="2" t="s">
        <v>6</v>
      </c>
    </row>
    <row r="56" spans="2:19" x14ac:dyDescent="0.35">
      <c r="B56" s="10" t="s">
        <v>192</v>
      </c>
      <c r="C56" s="10"/>
      <c r="D56" s="33" t="s">
        <v>8</v>
      </c>
      <c r="E56" s="34">
        <v>2.4899999999999999E-2</v>
      </c>
      <c r="F56" s="35" t="s">
        <v>9</v>
      </c>
      <c r="G56" s="33" t="s">
        <v>10</v>
      </c>
      <c r="H56" s="34">
        <v>3.6799999999999999E-2</v>
      </c>
      <c r="I56" s="35" t="s">
        <v>9</v>
      </c>
      <c r="J56" s="23" t="s">
        <v>11</v>
      </c>
      <c r="K56" s="24">
        <f>(H56*1000-'Material - Abmessungen'!E25)*'Material - Abmessungen'!E20*0.96</f>
        <v>5.4284671211999989</v>
      </c>
      <c r="L56" s="25" t="s">
        <v>12</v>
      </c>
      <c r="M56" s="23" t="s">
        <v>13</v>
      </c>
      <c r="N56" s="26">
        <v>4.8959000000000001</v>
      </c>
      <c r="O56" s="27" t="s">
        <v>12</v>
      </c>
      <c r="P56" s="17" t="s">
        <v>14</v>
      </c>
      <c r="Q56" s="18">
        <f>((E56*1000-'Material - Abmessungen'!E17-('Material - Abmessungen'!E51*1000))*'Material - Abmessungen'!E10*0.697)/K56</f>
        <v>3.5859097191926632</v>
      </c>
      <c r="R56" s="17" t="s">
        <v>15</v>
      </c>
      <c r="S56" s="19">
        <f>Q56^(-1)</f>
        <v>0.27886926283942848</v>
      </c>
    </row>
    <row r="57" spans="2:19" x14ac:dyDescent="0.35">
      <c r="B57" s="10" t="s">
        <v>193</v>
      </c>
      <c r="C57" s="15"/>
      <c r="D57" s="33" t="s">
        <v>17</v>
      </c>
      <c r="E57" s="37">
        <v>2.46E-2</v>
      </c>
      <c r="F57" s="38" t="s">
        <v>9</v>
      </c>
      <c r="G57" s="36" t="s">
        <v>18</v>
      </c>
      <c r="H57" s="37">
        <v>3.7100000000000001E-2</v>
      </c>
      <c r="I57" s="38" t="s">
        <v>9</v>
      </c>
      <c r="J57" s="23" t="s">
        <v>11</v>
      </c>
      <c r="K57" s="29">
        <f>(H57*1000-'Material - Abmessungen'!E25)*'Material - Abmessungen'!E20*0.96</f>
        <v>5.4817471211999997</v>
      </c>
      <c r="L57" s="30" t="s">
        <v>12</v>
      </c>
      <c r="M57" s="28" t="s">
        <v>13</v>
      </c>
      <c r="N57" s="31">
        <v>4.9615999999999998</v>
      </c>
      <c r="O57" s="32" t="s">
        <v>12</v>
      </c>
      <c r="P57" s="20" t="s">
        <v>14</v>
      </c>
      <c r="Q57" s="21">
        <f>((E57*1000-'Material - Abmessungen'!E17-('Material - Abmessungen'!E51*1000))*'Material - Abmessungen'!E10*0.697)/K57</f>
        <v>3.4145362229207419</v>
      </c>
      <c r="R57" s="20" t="s">
        <v>15</v>
      </c>
      <c r="S57" s="22">
        <f t="shared" ref="S57:S59" si="10">Q57^(-1)</f>
        <v>0.29286554153015115</v>
      </c>
    </row>
    <row r="58" spans="2:19" x14ac:dyDescent="0.35">
      <c r="B58" s="10" t="s">
        <v>194</v>
      </c>
      <c r="C58" s="15"/>
      <c r="D58" s="36" t="s">
        <v>20</v>
      </c>
      <c r="E58" s="37">
        <v>2.4899999999999999E-2</v>
      </c>
      <c r="F58" s="38" t="s">
        <v>9</v>
      </c>
      <c r="G58" s="36" t="s">
        <v>21</v>
      </c>
      <c r="H58" s="37">
        <v>3.6700000000000003E-2</v>
      </c>
      <c r="I58" s="38" t="s">
        <v>9</v>
      </c>
      <c r="J58" s="23" t="s">
        <v>11</v>
      </c>
      <c r="K58" s="29">
        <f>(H58*1000-'Material - Abmessungen'!E25)*'Material - Abmessungen'!E20*0.96</f>
        <v>5.4107071212000006</v>
      </c>
      <c r="L58" s="30" t="s">
        <v>12</v>
      </c>
      <c r="M58" s="28" t="s">
        <v>13</v>
      </c>
      <c r="N58" s="31">
        <v>5.0250000000000004</v>
      </c>
      <c r="O58" s="32" t="s">
        <v>12</v>
      </c>
      <c r="P58" s="20" t="s">
        <v>14</v>
      </c>
      <c r="Q58" s="21">
        <f>((E58*1000-'Material - Abmessungen'!E17-('Material - Abmessungen'!E51*1000))*'Material - Abmessungen'!E10*0.697)/K58</f>
        <v>3.5976800396306934</v>
      </c>
      <c r="R58" s="20" t="s">
        <v>15</v>
      </c>
      <c r="S58" s="22">
        <f t="shared" si="10"/>
        <v>0.27795690249949279</v>
      </c>
    </row>
    <row r="59" spans="2:19" x14ac:dyDescent="0.35">
      <c r="B59" s="10" t="s">
        <v>195</v>
      </c>
      <c r="C59" s="11"/>
      <c r="D59" s="36" t="s">
        <v>23</v>
      </c>
      <c r="E59" s="37">
        <v>2.47E-2</v>
      </c>
      <c r="F59" s="38" t="s">
        <v>9</v>
      </c>
      <c r="G59" s="36" t="s">
        <v>24</v>
      </c>
      <c r="H59" s="37">
        <v>3.61E-2</v>
      </c>
      <c r="I59" s="38" t="s">
        <v>9</v>
      </c>
      <c r="J59" s="23" t="s">
        <v>11</v>
      </c>
      <c r="K59" s="29">
        <f>(H59*1000-'Material - Abmessungen'!E25)*'Material - Abmessungen'!E20*0.96</f>
        <v>5.3041471211999998</v>
      </c>
      <c r="L59" s="30" t="s">
        <v>12</v>
      </c>
      <c r="M59" s="28" t="s">
        <v>13</v>
      </c>
      <c r="N59" s="31">
        <v>4.9257</v>
      </c>
      <c r="O59" s="32" t="s">
        <v>12</v>
      </c>
      <c r="P59" s="40" t="s">
        <v>14</v>
      </c>
      <c r="Q59" s="21">
        <f>((E59*1000-'Material - Abmessungen'!E17-('Material - Abmessungen'!E51*1000))*'Material - Abmessungen'!E10*0.697)/K59</f>
        <v>3.57589636501972</v>
      </c>
      <c r="R59" s="40" t="s">
        <v>15</v>
      </c>
      <c r="S59" s="22">
        <f t="shared" si="10"/>
        <v>0.27965016262278769</v>
      </c>
    </row>
    <row r="61" spans="2:19" x14ac:dyDescent="0.35">
      <c r="D61" s="14" t="s">
        <v>31</v>
      </c>
      <c r="E61" s="14"/>
      <c r="F61" s="14"/>
      <c r="G61" s="14"/>
      <c r="H61" s="14"/>
      <c r="I61" s="14"/>
      <c r="J61" s="14"/>
      <c r="K61" s="14"/>
    </row>
    <row r="62" spans="2:19" x14ac:dyDescent="0.35">
      <c r="F62" t="s">
        <v>32</v>
      </c>
      <c r="G62" t="s">
        <v>33</v>
      </c>
      <c r="H62" t="s">
        <v>34</v>
      </c>
      <c r="I62" t="s">
        <v>35</v>
      </c>
    </row>
    <row r="63" spans="2:19" x14ac:dyDescent="0.35">
      <c r="D63" s="10" t="s">
        <v>38</v>
      </c>
      <c r="E63" s="10"/>
      <c r="F63" s="10">
        <v>6.1078999999999999</v>
      </c>
      <c r="G63" s="10">
        <v>6.1250999999999998</v>
      </c>
      <c r="H63" s="10">
        <v>6.1881000000000004</v>
      </c>
      <c r="I63" s="10">
        <v>6.0891999999999999</v>
      </c>
    </row>
    <row r="64" spans="2:19" x14ac:dyDescent="0.35">
      <c r="D64" s="11" t="s">
        <v>39</v>
      </c>
      <c r="E64" s="11"/>
      <c r="F64" s="11">
        <v>0.1288</v>
      </c>
      <c r="G64" s="11">
        <v>0.13159999999999999</v>
      </c>
      <c r="H64" s="11">
        <v>0.10340000000000001</v>
      </c>
      <c r="I64" s="11">
        <v>0.1038</v>
      </c>
    </row>
    <row r="65" spans="2:19" x14ac:dyDescent="0.35">
      <c r="D65" s="11" t="s">
        <v>40</v>
      </c>
      <c r="E65" s="11"/>
      <c r="F65" s="11">
        <v>4.9162999999999997</v>
      </c>
      <c r="G65" s="11">
        <v>4.9707999999999997</v>
      </c>
      <c r="H65" s="11">
        <v>5.0414000000000003</v>
      </c>
      <c r="I65" s="11">
        <v>4.9466000000000001</v>
      </c>
      <c r="M65" t="s">
        <v>41</v>
      </c>
    </row>
    <row r="66" spans="2:19" x14ac:dyDescent="0.35">
      <c r="D66" t="s">
        <v>42</v>
      </c>
      <c r="F66" s="12">
        <f>F65/(F63+F64)</f>
        <v>0.7882854714833164</v>
      </c>
      <c r="G66" s="12">
        <f t="shared" ref="G66" si="11">G65/(G63+G64)</f>
        <v>0.7944763213834769</v>
      </c>
      <c r="H66" s="12">
        <f t="shared" ref="H66" si="12">H65/(H63+H64)</f>
        <v>0.80130334578399431</v>
      </c>
      <c r="I66" s="12">
        <f t="shared" ref="I66" si="13">I65/(I63+I64)</f>
        <v>0.79874051348296471</v>
      </c>
      <c r="J66" t="s">
        <v>43</v>
      </c>
      <c r="K66" s="13">
        <f>(F66+G66+H66+I66)/4</f>
        <v>0.795701413033438</v>
      </c>
      <c r="M66" s="39">
        <f>_xlfn.STDEV.S(F66,G66,H66,I66)</f>
        <v>5.6896051623316589E-3</v>
      </c>
    </row>
    <row r="68" spans="2:19" x14ac:dyDescent="0.35">
      <c r="D68" s="10" t="s">
        <v>44</v>
      </c>
      <c r="E68" s="10"/>
      <c r="F68" s="10">
        <v>4.8550000000000004</v>
      </c>
      <c r="G68" s="10">
        <v>4.9172000000000002</v>
      </c>
      <c r="H68" s="10">
        <v>4.9969000000000001</v>
      </c>
      <c r="I68" s="10">
        <v>4.8978000000000002</v>
      </c>
    </row>
    <row r="69" spans="2:19" x14ac:dyDescent="0.35">
      <c r="D69" s="11" t="s">
        <v>45</v>
      </c>
      <c r="E69" s="11"/>
      <c r="F69" s="11">
        <v>0.1084</v>
      </c>
      <c r="G69" s="11">
        <v>0.1037</v>
      </c>
      <c r="H69" s="11">
        <v>8.8099999999999998E-2</v>
      </c>
      <c r="I69" s="11">
        <v>9.1499999999999998E-2</v>
      </c>
    </row>
    <row r="70" spans="2:19" x14ac:dyDescent="0.35">
      <c r="D70" s="11" t="s">
        <v>46</v>
      </c>
      <c r="E70" s="11"/>
      <c r="F70" s="11">
        <v>4.8959000000000001</v>
      </c>
      <c r="G70" s="11">
        <v>4.9615999999999998</v>
      </c>
      <c r="H70" s="11">
        <v>5.0250000000000004</v>
      </c>
      <c r="I70" s="11">
        <v>4.9257</v>
      </c>
      <c r="M70" t="s">
        <v>41</v>
      </c>
    </row>
    <row r="71" spans="2:19" x14ac:dyDescent="0.35">
      <c r="D71" t="s">
        <v>42</v>
      </c>
      <c r="F71" s="12">
        <f>F70/(F68+F69)</f>
        <v>0.98640045130354193</v>
      </c>
      <c r="G71" s="12">
        <f t="shared" ref="G71" si="14">G70/(G68+G69)</f>
        <v>0.98818936843992111</v>
      </c>
      <c r="H71" s="12">
        <f t="shared" ref="H71" si="15">H70/(H68+H69)</f>
        <v>0.98820058997050153</v>
      </c>
      <c r="I71" s="12">
        <f t="shared" ref="I71" si="16">I70/(I68+I69)</f>
        <v>0.98725272082256021</v>
      </c>
      <c r="J71" t="s">
        <v>43</v>
      </c>
      <c r="K71" s="13">
        <f>(F71+G71+H71+I71)/4</f>
        <v>0.98751078263413117</v>
      </c>
      <c r="M71" s="39">
        <f>_xlfn.STDEV.S(F71,G71,H71,I71)</f>
        <v>8.6327755664276798E-4</v>
      </c>
    </row>
    <row r="74" spans="2:19" x14ac:dyDescent="0.35">
      <c r="B74" s="1" t="s">
        <v>128</v>
      </c>
      <c r="C74" s="1"/>
      <c r="D74" s="1"/>
      <c r="E74" s="1"/>
      <c r="F74" s="1"/>
      <c r="G74" s="1"/>
      <c r="H74" s="1"/>
      <c r="I74" s="1"/>
    </row>
    <row r="75" spans="2:19" x14ac:dyDescent="0.35">
      <c r="B75" s="2" t="s">
        <v>2</v>
      </c>
      <c r="C75" s="2" t="s">
        <v>3</v>
      </c>
      <c r="D75" s="2" t="s">
        <v>4</v>
      </c>
    </row>
    <row r="77" spans="2:19" x14ac:dyDescent="0.35">
      <c r="C77" s="2" t="s">
        <v>5</v>
      </c>
      <c r="D77" s="2"/>
      <c r="E77" s="2"/>
      <c r="F77" s="2"/>
      <c r="G77" s="2" t="s">
        <v>6</v>
      </c>
      <c r="H77" s="2" t="s">
        <v>6</v>
      </c>
    </row>
    <row r="79" spans="2:19" x14ac:dyDescent="0.35">
      <c r="B79" s="10" t="s">
        <v>196</v>
      </c>
      <c r="C79" s="10"/>
      <c r="D79" s="33" t="s">
        <v>8</v>
      </c>
      <c r="E79" s="34">
        <v>2.4500000000000001E-2</v>
      </c>
      <c r="F79" s="35" t="s">
        <v>9</v>
      </c>
      <c r="G79" s="33" t="s">
        <v>10</v>
      </c>
      <c r="H79" s="34">
        <v>3.6799999999999999E-2</v>
      </c>
      <c r="I79" s="35" t="s">
        <v>9</v>
      </c>
      <c r="J79" s="23" t="s">
        <v>11</v>
      </c>
      <c r="K79" s="24">
        <f>(H79*1000-'Material - Abmessungen'!E25)*'Material - Abmessungen'!E20*0.96</f>
        <v>5.4284671211999989</v>
      </c>
      <c r="L79" s="25" t="s">
        <v>12</v>
      </c>
      <c r="M79" s="23" t="s">
        <v>13</v>
      </c>
      <c r="N79" s="26">
        <v>5.0153999999999996</v>
      </c>
      <c r="O79" s="27" t="s">
        <v>12</v>
      </c>
      <c r="P79" s="17" t="s">
        <v>14</v>
      </c>
      <c r="Q79" s="18">
        <f>((E79*1000-'Material - Abmessungen'!E17)*'Material - Abmessungen'!E10*0.697)/K79</f>
        <v>3.6189106789916963</v>
      </c>
      <c r="R79" s="17" t="s">
        <v>15</v>
      </c>
      <c r="S79" s="19">
        <f>Q79^(-1)</f>
        <v>0.27632624529948907</v>
      </c>
    </row>
    <row r="80" spans="2:19" x14ac:dyDescent="0.35">
      <c r="B80" s="10" t="s">
        <v>197</v>
      </c>
      <c r="C80" s="15"/>
      <c r="D80" s="33" t="s">
        <v>17</v>
      </c>
      <c r="E80" s="37">
        <v>2.4400000000000002E-2</v>
      </c>
      <c r="F80" s="38" t="s">
        <v>9</v>
      </c>
      <c r="G80" s="36" t="s">
        <v>18</v>
      </c>
      <c r="H80" s="37">
        <v>3.7100000000000001E-2</v>
      </c>
      <c r="I80" s="38" t="s">
        <v>9</v>
      </c>
      <c r="J80" s="23" t="s">
        <v>11</v>
      </c>
      <c r="K80" s="29">
        <f>(H80*1000-'Material - Abmessungen'!E25)*'Material - Abmessungen'!E20*0.96</f>
        <v>5.4817471211999997</v>
      </c>
      <c r="L80" s="30" t="s">
        <v>12</v>
      </c>
      <c r="M80" s="28" t="s">
        <v>13</v>
      </c>
      <c r="N80" s="31">
        <v>4.9965999999999999</v>
      </c>
      <c r="O80" s="32" t="s">
        <v>12</v>
      </c>
      <c r="P80" s="20" t="s">
        <v>14</v>
      </c>
      <c r="Q80" s="21">
        <f>((E80*1000-'Material - Abmessungen'!E17)*'Material - Abmessungen'!E10*0.697)/K80</f>
        <v>3.5382298574947981</v>
      </c>
      <c r="R80" s="20" t="s">
        <v>15</v>
      </c>
      <c r="S80" s="22">
        <f t="shared" ref="S80:S84" si="17">Q80^(-1)</f>
        <v>0.28262720068391434</v>
      </c>
    </row>
    <row r="81" spans="2:28" x14ac:dyDescent="0.35">
      <c r="B81" s="10" t="s">
        <v>198</v>
      </c>
      <c r="C81" s="15"/>
      <c r="D81" s="36" t="s">
        <v>20</v>
      </c>
      <c r="E81" s="37">
        <v>2.4899999999999999E-2</v>
      </c>
      <c r="F81" s="38" t="s">
        <v>9</v>
      </c>
      <c r="G81" s="36" t="s">
        <v>21</v>
      </c>
      <c r="H81" s="37">
        <v>3.7699999999999997E-2</v>
      </c>
      <c r="I81" s="38" t="s">
        <v>9</v>
      </c>
      <c r="J81" s="23" t="s">
        <v>11</v>
      </c>
      <c r="K81" s="29">
        <f>(H81*1000-'Material - Abmessungen'!E25)*'Material - Abmessungen'!E20*0.96</f>
        <v>5.588307121199998</v>
      </c>
      <c r="L81" s="30" t="s">
        <v>12</v>
      </c>
      <c r="M81" s="28" t="s">
        <v>13</v>
      </c>
      <c r="N81" s="31">
        <v>5.1737000000000002</v>
      </c>
      <c r="O81" s="32" t="s">
        <v>12</v>
      </c>
      <c r="P81" s="20" t="s">
        <v>14</v>
      </c>
      <c r="Q81" s="21">
        <f>((E81*1000-'Material - Abmessungen'!E17)*'Material - Abmessungen'!E10*0.697)/K81</f>
        <v>3.6939563964110196</v>
      </c>
      <c r="R81" s="20" t="s">
        <v>15</v>
      </c>
      <c r="S81" s="22">
        <f t="shared" si="17"/>
        <v>0.27071245371807356</v>
      </c>
    </row>
    <row r="82" spans="2:28" x14ac:dyDescent="0.35">
      <c r="B82" s="10" t="s">
        <v>199</v>
      </c>
      <c r="C82" s="15"/>
      <c r="D82" s="36" t="s">
        <v>23</v>
      </c>
      <c r="E82" s="37">
        <v>2.4799999999999999E-2</v>
      </c>
      <c r="F82" s="38" t="s">
        <v>9</v>
      </c>
      <c r="G82" s="36" t="s">
        <v>24</v>
      </c>
      <c r="H82" s="37">
        <v>3.7400000000000003E-2</v>
      </c>
      <c r="I82" s="38" t="s">
        <v>9</v>
      </c>
      <c r="J82" s="23" t="s">
        <v>11</v>
      </c>
      <c r="K82" s="29">
        <f>(H82*1000-'Material - Abmessungen'!E25)*'Material - Abmessungen'!E20*0.96</f>
        <v>5.5350271212000006</v>
      </c>
      <c r="L82" s="30" t="s">
        <v>12</v>
      </c>
      <c r="M82" s="28" t="s">
        <v>13</v>
      </c>
      <c r="N82" s="31">
        <v>5.1246999999999998</v>
      </c>
      <c r="O82" s="32" t="s">
        <v>12</v>
      </c>
      <c r="P82" s="40" t="s">
        <v>14</v>
      </c>
      <c r="Q82" s="21">
        <f>((E82*1000-'Material - Abmessungen'!E17)*'Material - Abmessungen'!E10*0.697)/K82</f>
        <v>3.6844456384605122</v>
      </c>
      <c r="R82" s="40" t="s">
        <v>15</v>
      </c>
      <c r="S82" s="22">
        <f t="shared" si="17"/>
        <v>0.27141125100649721</v>
      </c>
    </row>
    <row r="83" spans="2:28" x14ac:dyDescent="0.35">
      <c r="B83" s="97" t="s">
        <v>200</v>
      </c>
      <c r="C83" s="99"/>
      <c r="D83" s="103" t="s">
        <v>26</v>
      </c>
      <c r="E83" s="101">
        <v>2.4799999999999999E-2</v>
      </c>
      <c r="F83" s="102" t="s">
        <v>9</v>
      </c>
      <c r="G83" s="103" t="s">
        <v>27</v>
      </c>
      <c r="H83" s="101">
        <v>3.6400000000000002E-2</v>
      </c>
      <c r="I83" s="102" t="s">
        <v>9</v>
      </c>
      <c r="J83" s="23" t="s">
        <v>11</v>
      </c>
      <c r="K83" s="29">
        <f>(H83*1000-'Material - Abmessungen'!E25)*'Material - Abmessungen'!E20*0.96</f>
        <v>5.3574271211999989</v>
      </c>
      <c r="L83" s="32" t="s">
        <v>12</v>
      </c>
      <c r="M83" s="28" t="s">
        <v>13</v>
      </c>
      <c r="N83" s="31">
        <v>4.9511000000000003</v>
      </c>
      <c r="O83" s="32" t="s">
        <v>12</v>
      </c>
      <c r="P83" s="40" t="s">
        <v>14</v>
      </c>
      <c r="Q83" s="21">
        <f>((E83*1000-'Material - Abmessungen'!E17)*'Material - Abmessungen'!E10*0.697)/K83</f>
        <v>3.8065858991840265</v>
      </c>
      <c r="R83" s="20" t="s">
        <v>15</v>
      </c>
      <c r="S83" s="22">
        <f t="shared" si="17"/>
        <v>0.26270259662716616</v>
      </c>
      <c r="T83" s="43"/>
      <c r="U83" s="44"/>
      <c r="V83" s="44"/>
      <c r="W83" s="44"/>
      <c r="X83" s="44"/>
      <c r="Y83" s="44"/>
      <c r="Z83" s="44"/>
      <c r="AA83" s="44"/>
      <c r="AB83" s="44"/>
    </row>
    <row r="84" spans="2:28" x14ac:dyDescent="0.35">
      <c r="B84" s="97" t="s">
        <v>201</v>
      </c>
      <c r="C84" s="99"/>
      <c r="D84" s="103" t="s">
        <v>29</v>
      </c>
      <c r="E84" s="101">
        <v>2.4799999999999999E-2</v>
      </c>
      <c r="F84" s="102" t="s">
        <v>9</v>
      </c>
      <c r="G84" s="103" t="s">
        <v>30</v>
      </c>
      <c r="H84" s="101">
        <v>3.6299999999999999E-2</v>
      </c>
      <c r="I84" s="102" t="s">
        <v>9</v>
      </c>
      <c r="J84" s="23" t="s">
        <v>11</v>
      </c>
      <c r="K84" s="29">
        <f>(H84*1000-'Material - Abmessungen'!E25)*'Material - Abmessungen'!E20*0.96</f>
        <v>5.3396671211999989</v>
      </c>
      <c r="L84" s="30" t="s">
        <v>12</v>
      </c>
      <c r="M84" s="28" t="s">
        <v>13</v>
      </c>
      <c r="N84" s="31">
        <v>5.0223000000000004</v>
      </c>
      <c r="O84" s="30" t="s">
        <v>12</v>
      </c>
      <c r="P84" s="20" t="s">
        <v>14</v>
      </c>
      <c r="Q84" s="21">
        <f>((E84*1000-'Material - Abmessungen'!E17)*'Material - Abmessungen'!E10*0.697)/K84</f>
        <v>3.8192467943362911</v>
      </c>
      <c r="R84" s="20" t="s">
        <v>15</v>
      </c>
      <c r="S84" s="22">
        <f t="shared" si="17"/>
        <v>0.26183173118923309</v>
      </c>
      <c r="T84" s="43"/>
      <c r="U84" s="44"/>
      <c r="V84" s="44"/>
      <c r="W84" s="44"/>
      <c r="X84" s="44"/>
      <c r="Y84" s="44"/>
      <c r="Z84" s="44"/>
      <c r="AA84" s="44"/>
      <c r="AB84" s="44"/>
    </row>
    <row r="86" spans="2:28" x14ac:dyDescent="0.35">
      <c r="D86" s="14" t="s">
        <v>31</v>
      </c>
      <c r="E86" s="14"/>
      <c r="F86" s="14"/>
      <c r="G86" s="14"/>
      <c r="H86" s="14"/>
      <c r="I86" s="14"/>
      <c r="J86" s="14"/>
      <c r="K86" s="14"/>
    </row>
    <row r="87" spans="2:28" x14ac:dyDescent="0.35">
      <c r="F87" t="s">
        <v>32</v>
      </c>
      <c r="G87" t="s">
        <v>33</v>
      </c>
      <c r="H87" t="s">
        <v>34</v>
      </c>
      <c r="I87" t="s">
        <v>35</v>
      </c>
      <c r="J87" s="44" t="s">
        <v>36</v>
      </c>
      <c r="K87" s="44" t="s">
        <v>37</v>
      </c>
    </row>
    <row r="88" spans="2:28" x14ac:dyDescent="0.35">
      <c r="D88" s="10" t="s">
        <v>38</v>
      </c>
      <c r="E88" s="10"/>
      <c r="F88" s="10">
        <v>6.1655899999999999</v>
      </c>
      <c r="G88" s="10">
        <v>6.1560199999999998</v>
      </c>
      <c r="H88" s="10">
        <v>6.3640600000000003</v>
      </c>
      <c r="I88" s="10">
        <v>6.3045999999999998</v>
      </c>
      <c r="J88" s="97">
        <v>6.1125600000000002</v>
      </c>
      <c r="K88" s="97">
        <v>6.1648199999999997</v>
      </c>
    </row>
    <row r="89" spans="2:28" x14ac:dyDescent="0.35">
      <c r="D89" s="11" t="s">
        <v>39</v>
      </c>
      <c r="E89" s="11"/>
      <c r="F89" s="11">
        <v>0.10302</v>
      </c>
      <c r="G89" s="11">
        <v>0.10145</v>
      </c>
      <c r="H89" s="11">
        <v>0.10741000000000001</v>
      </c>
      <c r="I89" s="11">
        <v>0.111</v>
      </c>
      <c r="J89" s="99">
        <v>0.10345</v>
      </c>
      <c r="K89" s="99">
        <v>0.10249</v>
      </c>
    </row>
    <row r="90" spans="2:28" x14ac:dyDescent="0.35">
      <c r="D90" s="11" t="s">
        <v>40</v>
      </c>
      <c r="E90" s="11"/>
      <c r="F90" s="11">
        <v>5.0259400000000003</v>
      </c>
      <c r="G90" s="11">
        <v>5.0101199999999997</v>
      </c>
      <c r="H90" s="11">
        <v>5.1828700000000003</v>
      </c>
      <c r="I90" s="11">
        <v>5.1294899999999997</v>
      </c>
      <c r="J90" s="99">
        <v>4.9658800000000003</v>
      </c>
      <c r="K90" s="99">
        <v>5.0315000000000003</v>
      </c>
      <c r="O90" t="s">
        <v>41</v>
      </c>
    </row>
    <row r="91" spans="2:28" x14ac:dyDescent="0.35">
      <c r="D91" t="s">
        <v>42</v>
      </c>
      <c r="F91" s="12">
        <f>F90/(F88+F89)</f>
        <v>0.80176307028192861</v>
      </c>
      <c r="G91" s="12">
        <f t="shared" ref="G91:K91" si="18">G90/(G88+G89)</f>
        <v>0.80066224848061596</v>
      </c>
      <c r="H91" s="12">
        <f t="shared" si="18"/>
        <v>0.80087986191699878</v>
      </c>
      <c r="I91" s="12">
        <f t="shared" si="18"/>
        <v>0.79953394850052995</v>
      </c>
      <c r="J91" s="12">
        <f t="shared" si="18"/>
        <v>0.79888545867847716</v>
      </c>
      <c r="K91" s="12">
        <f t="shared" si="18"/>
        <v>0.8028165193679585</v>
      </c>
      <c r="L91" t="s">
        <v>43</v>
      </c>
      <c r="M91" s="13">
        <f>(F91+G91+H91+I91+J91+K91)/6</f>
        <v>0.8007568512044182</v>
      </c>
      <c r="O91" s="39">
        <f>_xlfn.STDEV.S(F91,G91,H91,I91,J91,K91)</f>
        <v>1.4336242252370726E-3</v>
      </c>
    </row>
    <row r="92" spans="2:28" x14ac:dyDescent="0.35">
      <c r="J92" s="43"/>
      <c r="K92" s="43"/>
    </row>
    <row r="93" spans="2:28" x14ac:dyDescent="0.35">
      <c r="D93" s="10" t="s">
        <v>44</v>
      </c>
      <c r="E93" s="10"/>
      <c r="F93" s="10">
        <v>4.98353</v>
      </c>
      <c r="G93" s="10">
        <v>4.9664599999999997</v>
      </c>
      <c r="H93" s="10">
        <v>5.1390900000000004</v>
      </c>
      <c r="I93" s="10">
        <v>5.0847899999999999</v>
      </c>
      <c r="J93" s="97">
        <v>4.9182800000000002</v>
      </c>
      <c r="K93" s="97">
        <v>4.9900900000000004</v>
      </c>
    </row>
    <row r="94" spans="2:28" x14ac:dyDescent="0.35">
      <c r="D94" s="11" t="s">
        <v>45</v>
      </c>
      <c r="E94" s="11"/>
      <c r="F94" s="11">
        <v>8.6290000000000006E-2</v>
      </c>
      <c r="G94" s="11">
        <v>8.5559999999999997E-2</v>
      </c>
      <c r="H94" s="11">
        <v>8.8400000000000006E-2</v>
      </c>
      <c r="I94" s="11">
        <v>9.1520000000000004E-2</v>
      </c>
      <c r="J94" s="99">
        <v>8.8160000000000002E-2</v>
      </c>
      <c r="K94" s="99">
        <v>8.4529999999999994E-2</v>
      </c>
    </row>
    <row r="95" spans="2:28" x14ac:dyDescent="0.35">
      <c r="D95" s="11" t="s">
        <v>46</v>
      </c>
      <c r="E95" s="11"/>
      <c r="F95" s="11">
        <v>5.0153600000000003</v>
      </c>
      <c r="G95" s="11">
        <v>4.9965900000000003</v>
      </c>
      <c r="H95" s="11">
        <v>5.1736599999999999</v>
      </c>
      <c r="I95" s="11">
        <v>5.1246400000000003</v>
      </c>
      <c r="J95" s="99">
        <v>4.9511099999999999</v>
      </c>
      <c r="K95" s="99">
        <v>5.0223399999999998</v>
      </c>
      <c r="O95" t="s">
        <v>41</v>
      </c>
    </row>
    <row r="96" spans="2:28" x14ac:dyDescent="0.35">
      <c r="D96" t="s">
        <v>42</v>
      </c>
      <c r="F96" s="12">
        <f>F95/(F93+F94)</f>
        <v>0.98925800127026209</v>
      </c>
      <c r="G96" s="12">
        <f t="shared" ref="G96:K96" si="19">G95/(G93+G94)</f>
        <v>0.98902815111579145</v>
      </c>
      <c r="H96" s="12">
        <f t="shared" si="19"/>
        <v>0.9897025149737253</v>
      </c>
      <c r="I96" s="12">
        <f t="shared" si="19"/>
        <v>0.99001798578524092</v>
      </c>
      <c r="J96" s="12">
        <f t="shared" si="19"/>
        <v>0.98894823467374016</v>
      </c>
      <c r="K96" s="12">
        <f t="shared" si="19"/>
        <v>0.98969775076754507</v>
      </c>
      <c r="L96" t="s">
        <v>43</v>
      </c>
      <c r="M96" s="13">
        <f>(F96+G96+H96+I96+J96+K96)/6</f>
        <v>0.98944210643105102</v>
      </c>
      <c r="O96" s="39">
        <f>_xlfn.STDEV.S(F96,G96,H96,I96,J96,K96)</f>
        <v>4.2754337613661709E-4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S22"/>
  <sheetViews>
    <sheetView workbookViewId="0"/>
  </sheetViews>
  <sheetFormatPr baseColWidth="10" defaultRowHeight="14.5" x14ac:dyDescent="0.35"/>
  <cols>
    <col min="2" max="2" width="36.1796875" customWidth="1"/>
    <col min="5" max="5" width="16.453125" customWidth="1"/>
    <col min="9" max="9" width="11.54296875" customWidth="1"/>
    <col min="10" max="10" width="33.36328125" customWidth="1"/>
    <col min="13" max="13" width="28.1796875" customWidth="1"/>
    <col min="16" max="16" width="17.90625" customWidth="1"/>
    <col min="17" max="17" width="14.90625" customWidth="1"/>
    <col min="18" max="18" width="19.36328125" customWidth="1"/>
  </cols>
  <sheetData>
    <row r="2" spans="2:19" x14ac:dyDescent="0.35">
      <c r="B2" s="1" t="s">
        <v>202</v>
      </c>
      <c r="C2" s="1"/>
      <c r="D2" s="1"/>
      <c r="E2" s="1"/>
      <c r="F2" s="1"/>
      <c r="G2" s="1"/>
      <c r="H2" s="1"/>
      <c r="I2" s="1"/>
    </row>
    <row r="3" spans="2:19" x14ac:dyDescent="0.35">
      <c r="B3" s="44" t="s">
        <v>203</v>
      </c>
      <c r="C3" s="44"/>
      <c r="D3" s="44"/>
    </row>
    <row r="5" spans="2:19" x14ac:dyDescent="0.35">
      <c r="C5" s="2" t="s">
        <v>5</v>
      </c>
      <c r="D5" s="2"/>
      <c r="E5" s="2"/>
      <c r="F5" s="2"/>
      <c r="G5" s="2" t="s">
        <v>6</v>
      </c>
      <c r="H5" s="2" t="s">
        <v>6</v>
      </c>
    </row>
    <row r="7" spans="2:19" x14ac:dyDescent="0.35">
      <c r="B7" s="10" t="s">
        <v>204</v>
      </c>
      <c r="C7" s="10"/>
      <c r="D7" s="33" t="s">
        <v>8</v>
      </c>
      <c r="E7" s="34">
        <v>2.4199999999999999E-2</v>
      </c>
      <c r="F7" s="35" t="s">
        <v>9</v>
      </c>
      <c r="G7" s="33" t="s">
        <v>10</v>
      </c>
      <c r="H7" s="34">
        <v>3.73E-2</v>
      </c>
      <c r="I7" s="35" t="s">
        <v>9</v>
      </c>
      <c r="J7" s="23" t="s">
        <v>11</v>
      </c>
      <c r="K7" s="24">
        <f>(H7*1000-'Material - Abmessungen'!E25)*'Material - Abmessungen'!E20*0.96</f>
        <v>5.5172671211999988</v>
      </c>
      <c r="L7" s="25" t="s">
        <v>12</v>
      </c>
      <c r="M7" s="23" t="s">
        <v>13</v>
      </c>
      <c r="N7" s="26">
        <v>4.7469000000000001</v>
      </c>
      <c r="O7" s="27" t="s">
        <v>12</v>
      </c>
      <c r="P7" s="17" t="s">
        <v>14</v>
      </c>
      <c r="Q7" s="18">
        <f>((E7*1000-'Material - Abmessungen'!E17)*'Material - Abmessungen'!E10*0.697)/K7</f>
        <v>3.4250233531118144</v>
      </c>
      <c r="R7" s="17" t="s">
        <v>15</v>
      </c>
      <c r="S7" s="19">
        <f>Q7^(-1)</f>
        <v>0.29196881215173243</v>
      </c>
    </row>
    <row r="8" spans="2:19" x14ac:dyDescent="0.35">
      <c r="B8" s="11" t="s">
        <v>205</v>
      </c>
      <c r="C8" s="15"/>
      <c r="D8" s="33" t="s">
        <v>17</v>
      </c>
      <c r="E8" s="37">
        <v>2.4199999999999999E-2</v>
      </c>
      <c r="F8" s="38" t="s">
        <v>9</v>
      </c>
      <c r="G8" s="36" t="s">
        <v>18</v>
      </c>
      <c r="H8" s="37">
        <v>3.7400000000000003E-2</v>
      </c>
      <c r="I8" s="38" t="s">
        <v>9</v>
      </c>
      <c r="J8" s="23" t="s">
        <v>11</v>
      </c>
      <c r="K8" s="29">
        <f>(H8*1000-'Material - Abmessungen'!E25)*'Material - Abmessungen'!E20*0.96</f>
        <v>5.5350271212000006</v>
      </c>
      <c r="L8" s="30" t="s">
        <v>12</v>
      </c>
      <c r="M8" s="28" t="s">
        <v>13</v>
      </c>
      <c r="N8" s="31">
        <v>4.7321999999999997</v>
      </c>
      <c r="O8" s="32" t="s">
        <v>12</v>
      </c>
      <c r="P8" s="20" t="s">
        <v>14</v>
      </c>
      <c r="Q8" s="21">
        <f>((E8*1000-'Material - Abmessungen'!E17)*'Material - Abmessungen'!E10*0.697)/K8</f>
        <v>3.414033630131363</v>
      </c>
      <c r="R8" s="20" t="s">
        <v>15</v>
      </c>
      <c r="S8" s="22">
        <f>Q8^(-1)</f>
        <v>0.29290865537300598</v>
      </c>
    </row>
    <row r="9" spans="2:19" x14ac:dyDescent="0.35">
      <c r="B9" s="11" t="s">
        <v>206</v>
      </c>
      <c r="C9" s="15"/>
      <c r="D9" s="36" t="s">
        <v>20</v>
      </c>
      <c r="E9" s="37">
        <v>2.4199999999999999E-2</v>
      </c>
      <c r="F9" s="38" t="s">
        <v>9</v>
      </c>
      <c r="G9" s="36" t="s">
        <v>21</v>
      </c>
      <c r="H9" s="37">
        <v>3.6900000000000002E-2</v>
      </c>
      <c r="I9" s="38" t="s">
        <v>9</v>
      </c>
      <c r="J9" s="23" t="s">
        <v>11</v>
      </c>
      <c r="K9" s="29">
        <f>(H9*1000-'Material - Abmessungen'!E25)*'Material - Abmessungen'!E20*0.96</f>
        <v>5.4462271212000006</v>
      </c>
      <c r="L9" s="30" t="s">
        <v>12</v>
      </c>
      <c r="M9" s="28" t="s">
        <v>13</v>
      </c>
      <c r="N9" s="31">
        <v>4.5829000000000004</v>
      </c>
      <c r="O9" s="32" t="s">
        <v>12</v>
      </c>
      <c r="P9" s="20" t="s">
        <v>14</v>
      </c>
      <c r="Q9" s="21">
        <f>((E9*1000-'Material - Abmessungen'!E17)*'Material - Abmessungen'!E10*0.697)/K9</f>
        <v>3.4696989888483287</v>
      </c>
      <c r="R9" s="20" t="s">
        <v>15</v>
      </c>
      <c r="S9" s="22">
        <f>Q9^(-1)</f>
        <v>0.28820943926663867</v>
      </c>
    </row>
    <row r="10" spans="2:19" x14ac:dyDescent="0.35">
      <c r="B10" s="11" t="s">
        <v>207</v>
      </c>
      <c r="C10" s="11"/>
      <c r="D10" s="36" t="s">
        <v>23</v>
      </c>
      <c r="E10" s="37">
        <v>2.4299999999999999E-2</v>
      </c>
      <c r="F10" s="38" t="s">
        <v>9</v>
      </c>
      <c r="G10" s="36" t="s">
        <v>24</v>
      </c>
      <c r="H10" s="37">
        <v>3.6999999999999998E-2</v>
      </c>
      <c r="I10" s="38" t="s">
        <v>9</v>
      </c>
      <c r="J10" s="23" t="s">
        <v>11</v>
      </c>
      <c r="K10" s="29">
        <f>(H10*1000-'Material - Abmessungen'!E25)*'Material - Abmessungen'!E20*0.96</f>
        <v>5.4639871211999997</v>
      </c>
      <c r="L10" s="30" t="s">
        <v>12</v>
      </c>
      <c r="M10" s="28" t="s">
        <v>13</v>
      </c>
      <c r="N10" s="31">
        <v>4.6841999999999997</v>
      </c>
      <c r="O10" s="32" t="s">
        <v>12</v>
      </c>
      <c r="P10" s="40" t="s">
        <v>14</v>
      </c>
      <c r="Q10" s="21">
        <f>((E10*1000-'Material - Abmessungen'!E17)*'Material - Abmessungen'!E10*0.697)/K10</f>
        <v>3.5040757986378801</v>
      </c>
      <c r="R10" s="40" t="s">
        <v>15</v>
      </c>
      <c r="S10" s="22">
        <f>Q10^(-1)</f>
        <v>0.2853819544624932</v>
      </c>
    </row>
    <row r="12" spans="2:19" x14ac:dyDescent="0.35">
      <c r="D12" s="14" t="s">
        <v>31</v>
      </c>
      <c r="E12" s="14"/>
      <c r="F12" s="14"/>
      <c r="G12" s="14"/>
      <c r="H12" s="14"/>
      <c r="I12" s="14"/>
      <c r="J12" s="14"/>
      <c r="K12" s="14"/>
    </row>
    <row r="13" spans="2:19" x14ac:dyDescent="0.35">
      <c r="F13" t="s">
        <v>32</v>
      </c>
      <c r="G13" t="s">
        <v>33</v>
      </c>
      <c r="H13" t="s">
        <v>34</v>
      </c>
      <c r="I13" t="s">
        <v>35</v>
      </c>
    </row>
    <row r="14" spans="2:19" x14ac:dyDescent="0.35">
      <c r="D14" s="10" t="s">
        <v>38</v>
      </c>
      <c r="E14" s="10"/>
      <c r="F14" s="10">
        <v>6.3520000000000003</v>
      </c>
      <c r="G14" s="10">
        <v>6.3147000000000002</v>
      </c>
      <c r="H14" s="10">
        <v>6.1379999999999999</v>
      </c>
      <c r="I14" s="10">
        <v>6.266</v>
      </c>
    </row>
    <row r="15" spans="2:19" x14ac:dyDescent="0.35">
      <c r="D15" s="11" t="s">
        <v>39</v>
      </c>
      <c r="E15" s="11"/>
      <c r="F15" s="11">
        <v>0.1096</v>
      </c>
      <c r="G15" s="11">
        <v>0.1081</v>
      </c>
      <c r="H15" s="11">
        <v>0.1055</v>
      </c>
      <c r="I15" s="11">
        <v>0.10780000000000001</v>
      </c>
    </row>
    <row r="16" spans="2:19" x14ac:dyDescent="0.35">
      <c r="D16" s="11" t="s">
        <v>40</v>
      </c>
      <c r="E16" s="11"/>
      <c r="F16" s="11">
        <v>4.8021000000000003</v>
      </c>
      <c r="G16" s="11">
        <v>4.7862999999999998</v>
      </c>
      <c r="H16" s="11">
        <v>4.6355000000000004</v>
      </c>
      <c r="I16" s="11">
        <v>4.7388000000000003</v>
      </c>
      <c r="M16" t="s">
        <v>41</v>
      </c>
    </row>
    <row r="17" spans="4:13" x14ac:dyDescent="0.35">
      <c r="D17" t="s">
        <v>42</v>
      </c>
      <c r="F17" s="12">
        <f>F16/(F14+F15)</f>
        <v>0.74317506499938091</v>
      </c>
      <c r="G17" s="12">
        <f>G16/(G14+G15)</f>
        <v>0.7452045836706731</v>
      </c>
      <c r="H17" s="12">
        <f>H16/(H14+H15)</f>
        <v>0.74245215023624578</v>
      </c>
      <c r="I17" s="12">
        <f>I16/(I14+I15)</f>
        <v>0.74348112585898529</v>
      </c>
      <c r="J17" t="s">
        <v>43</v>
      </c>
      <c r="K17" s="13">
        <f>(F17+G17+H17+I17)/4</f>
        <v>0.74357823119132127</v>
      </c>
      <c r="M17" s="39">
        <f>_xlfn.STDEV.S(F17,G17,H17,I17)</f>
        <v>1.1669123258082081E-3</v>
      </c>
    </row>
    <row r="19" spans="4:13" x14ac:dyDescent="0.35">
      <c r="D19" s="10" t="s">
        <v>44</v>
      </c>
      <c r="E19" s="10"/>
      <c r="F19" s="10">
        <v>4.7672999999999996</v>
      </c>
      <c r="G19" s="10">
        <v>4.7504999999999997</v>
      </c>
      <c r="H19" s="10">
        <v>4.5993000000000004</v>
      </c>
      <c r="I19" s="10">
        <v>4.7027999999999999</v>
      </c>
    </row>
    <row r="20" spans="4:13" x14ac:dyDescent="0.35">
      <c r="D20" s="11" t="s">
        <v>45</v>
      </c>
      <c r="E20" s="11"/>
      <c r="F20" s="11">
        <v>8.8789999999999994E-2</v>
      </c>
      <c r="G20" s="11">
        <v>8.8099999999999998E-2</v>
      </c>
      <c r="H20" s="11">
        <v>8.8200000000000001E-2</v>
      </c>
      <c r="I20" s="11">
        <v>8.8599999999999998E-2</v>
      </c>
    </row>
    <row r="21" spans="4:13" x14ac:dyDescent="0.35">
      <c r="D21" s="11" t="s">
        <v>46</v>
      </c>
      <c r="E21" s="11"/>
      <c r="F21" s="11">
        <v>4.7469000000000001</v>
      </c>
      <c r="G21" s="11">
        <v>4.7321999999999997</v>
      </c>
      <c r="H21" s="11">
        <v>4.5829000000000004</v>
      </c>
      <c r="I21" s="11">
        <v>4.6841999999999997</v>
      </c>
      <c r="M21" t="s">
        <v>41</v>
      </c>
    </row>
    <row r="22" spans="4:13" x14ac:dyDescent="0.35">
      <c r="D22" t="s">
        <v>42</v>
      </c>
      <c r="F22" s="12">
        <f>F21/(F19+F20)</f>
        <v>0.97751483189150123</v>
      </c>
      <c r="G22" s="12">
        <f>G21/(G19+G20)</f>
        <v>0.97801016823047993</v>
      </c>
      <c r="H22" s="12">
        <f>H21/(H19+H20)</f>
        <v>0.97768533333333341</v>
      </c>
      <c r="I22" s="12">
        <f>I21/(I19+I20)</f>
        <v>0.97762658095754895</v>
      </c>
      <c r="J22" t="s">
        <v>43</v>
      </c>
      <c r="K22" s="13">
        <f>(F22+G22+H22+I22)/4</f>
        <v>0.97770922860321596</v>
      </c>
      <c r="M22" s="39">
        <f>_xlfn.STDEV.S(F22,G22,H22,I22)</f>
        <v>2.1272545533334135E-4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S27"/>
  <sheetViews>
    <sheetView workbookViewId="0"/>
  </sheetViews>
  <sheetFormatPr baseColWidth="10" defaultRowHeight="14.5" x14ac:dyDescent="0.35"/>
  <cols>
    <col min="2" max="2" width="33.1796875" customWidth="1"/>
    <col min="5" max="5" width="15.453125" customWidth="1"/>
    <col min="10" max="10" width="37.6328125" customWidth="1"/>
    <col min="12" max="12" width="21.81640625" customWidth="1"/>
    <col min="13" max="13" width="25.453125" customWidth="1"/>
    <col min="16" max="16" width="18" customWidth="1"/>
    <col min="18" max="18" width="21.90625" customWidth="1"/>
  </cols>
  <sheetData>
    <row r="2" spans="2:19" x14ac:dyDescent="0.35">
      <c r="B2" s="1" t="s">
        <v>208</v>
      </c>
      <c r="C2" s="1"/>
      <c r="D2" s="1"/>
      <c r="E2" s="1"/>
      <c r="F2" s="1"/>
      <c r="G2" s="1"/>
      <c r="H2" s="1"/>
      <c r="I2" s="1"/>
      <c r="J2" s="75"/>
    </row>
    <row r="5" spans="2:19" x14ac:dyDescent="0.35">
      <c r="B5" s="1" t="s">
        <v>209</v>
      </c>
      <c r="C5" s="1"/>
      <c r="D5" s="1"/>
      <c r="E5" s="1"/>
      <c r="F5" s="1"/>
      <c r="G5" s="1"/>
      <c r="H5" s="1"/>
      <c r="I5" s="1"/>
    </row>
    <row r="6" spans="2:19" x14ac:dyDescent="0.35">
      <c r="B6" s="2" t="s">
        <v>2</v>
      </c>
      <c r="C6" s="2" t="s">
        <v>3</v>
      </c>
      <c r="D6" s="2" t="s">
        <v>4</v>
      </c>
    </row>
    <row r="8" spans="2:19" x14ac:dyDescent="0.35">
      <c r="C8" s="2" t="s">
        <v>5</v>
      </c>
      <c r="D8" s="2"/>
      <c r="E8" s="2"/>
      <c r="F8" s="2"/>
      <c r="G8" s="2" t="s">
        <v>6</v>
      </c>
      <c r="H8" s="2" t="s">
        <v>6</v>
      </c>
    </row>
    <row r="10" spans="2:19" x14ac:dyDescent="0.35">
      <c r="B10" s="10" t="s">
        <v>210</v>
      </c>
      <c r="C10" s="10"/>
      <c r="D10" s="33" t="s">
        <v>8</v>
      </c>
      <c r="E10" s="34">
        <v>2.52E-2</v>
      </c>
      <c r="F10" s="35" t="s">
        <v>9</v>
      </c>
      <c r="G10" s="33" t="s">
        <v>10</v>
      </c>
      <c r="H10" s="34">
        <v>3.73E-2</v>
      </c>
      <c r="I10" s="35" t="s">
        <v>9</v>
      </c>
      <c r="J10" s="23" t="s">
        <v>11</v>
      </c>
      <c r="K10" s="24">
        <f>(H10*1000-'Material - Abmessungen'!E25)*'Material - Abmessungen'!E20*0.96</f>
        <v>5.5172671211999988</v>
      </c>
      <c r="L10" s="25" t="s">
        <v>12</v>
      </c>
      <c r="M10" s="23" t="s">
        <v>13</v>
      </c>
      <c r="N10" s="26">
        <v>5.5206</v>
      </c>
      <c r="O10" s="27" t="s">
        <v>12</v>
      </c>
      <c r="P10" s="17" t="s">
        <v>14</v>
      </c>
      <c r="Q10" s="18">
        <f>((E10*1000-'Material - Abmessungen'!E17-('Material - Abmessungen'!E49*1000))*'Material - Abmessungen'!E10*0.697)/K10</f>
        <v>3.4505112162941987</v>
      </c>
      <c r="R10" s="17" t="s">
        <v>15</v>
      </c>
      <c r="S10" s="19">
        <f t="shared" ref="S10:S15" si="0">Q10^(-1)</f>
        <v>0.28981212849787114</v>
      </c>
    </row>
    <row r="11" spans="2:19" x14ac:dyDescent="0.35">
      <c r="B11" s="10" t="s">
        <v>211</v>
      </c>
      <c r="C11" s="15"/>
      <c r="D11" s="33" t="s">
        <v>17</v>
      </c>
      <c r="E11" s="37">
        <v>2.53E-2</v>
      </c>
      <c r="F11" s="38" t="s">
        <v>9</v>
      </c>
      <c r="G11" s="36" t="s">
        <v>18</v>
      </c>
      <c r="H11" s="37">
        <v>3.7100000000000001E-2</v>
      </c>
      <c r="I11" s="38" t="s">
        <v>9</v>
      </c>
      <c r="J11" s="23" t="s">
        <v>11</v>
      </c>
      <c r="K11" s="29">
        <f>(H11*1000-'Material - Abmessungen'!E25)*'Material - Abmessungen'!E20*0.96</f>
        <v>5.4817471211999997</v>
      </c>
      <c r="L11" s="30" t="s">
        <v>12</v>
      </c>
      <c r="M11" s="28" t="s">
        <v>13</v>
      </c>
      <c r="N11" s="31">
        <v>5.4619999999999997</v>
      </c>
      <c r="O11" s="32" t="s">
        <v>12</v>
      </c>
      <c r="P11" s="20" t="s">
        <v>14</v>
      </c>
      <c r="Q11" s="21">
        <f>((E11*1000-'Material - Abmessungen'!E17-('Material - Abmessungen'!E49*1000))*'Material - Abmessungen'!E10*0.697)/K11</f>
        <v>3.5183761597469956</v>
      </c>
      <c r="R11" s="20" t="s">
        <v>15</v>
      </c>
      <c r="S11" s="22">
        <f t="shared" si="0"/>
        <v>0.28422202589955858</v>
      </c>
    </row>
    <row r="12" spans="2:19" x14ac:dyDescent="0.35">
      <c r="B12" s="10" t="s">
        <v>212</v>
      </c>
      <c r="C12" s="15"/>
      <c r="D12" s="36" t="s">
        <v>20</v>
      </c>
      <c r="E12" s="37">
        <v>2.52E-2</v>
      </c>
      <c r="F12" s="38" t="s">
        <v>9</v>
      </c>
      <c r="G12" s="36" t="s">
        <v>21</v>
      </c>
      <c r="H12" s="37">
        <v>3.7600000000000001E-2</v>
      </c>
      <c r="I12" s="38" t="s">
        <v>9</v>
      </c>
      <c r="J12" s="23" t="s">
        <v>11</v>
      </c>
      <c r="K12" s="29">
        <f>(H12*1000-'Material - Abmessungen'!E25)*'Material - Abmessungen'!E20*0.96</f>
        <v>5.5705471211999997</v>
      </c>
      <c r="L12" s="30" t="s">
        <v>12</v>
      </c>
      <c r="M12" s="28" t="s">
        <v>13</v>
      </c>
      <c r="N12" s="31">
        <v>5.5758000000000001</v>
      </c>
      <c r="O12" s="32" t="s">
        <v>12</v>
      </c>
      <c r="P12" s="20" t="s">
        <v>14</v>
      </c>
      <c r="Q12" s="21">
        <f>((E12*1000-'Material - Abmessungen'!E17-('Material - Abmessungen'!E49*1000))*'Material - Abmessungen'!E10*0.697)/K12</f>
        <v>3.4175084907801287</v>
      </c>
      <c r="R12" s="20" t="s">
        <v>15</v>
      </c>
      <c r="S12" s="22">
        <f t="shared" si="0"/>
        <v>0.29261083116481912</v>
      </c>
    </row>
    <row r="13" spans="2:19" x14ac:dyDescent="0.35">
      <c r="B13" s="10" t="s">
        <v>213</v>
      </c>
      <c r="C13" s="15"/>
      <c r="D13" s="36" t="s">
        <v>23</v>
      </c>
      <c r="E13" s="37">
        <v>2.52E-2</v>
      </c>
      <c r="F13" s="38" t="s">
        <v>9</v>
      </c>
      <c r="G13" s="36" t="s">
        <v>24</v>
      </c>
      <c r="H13" s="37">
        <v>3.7400000000000003E-2</v>
      </c>
      <c r="I13" s="38" t="s">
        <v>9</v>
      </c>
      <c r="J13" s="23" t="s">
        <v>11</v>
      </c>
      <c r="K13" s="29">
        <f>(H13*1000-'Material - Abmessungen'!E25)*'Material - Abmessungen'!E20*0.96</f>
        <v>5.5350271212000006</v>
      </c>
      <c r="L13" s="30" t="s">
        <v>12</v>
      </c>
      <c r="M13" s="28" t="s">
        <v>13</v>
      </c>
      <c r="N13" s="31">
        <v>5.4869000000000003</v>
      </c>
      <c r="O13" s="32" t="s">
        <v>12</v>
      </c>
      <c r="P13" s="40" t="s">
        <v>14</v>
      </c>
      <c r="Q13" s="21">
        <f>((E13*1000-'Material - Abmessungen'!E17-('Material - Abmessungen'!E49*1000))*'Material - Abmessungen'!E10*0.697)/K13</f>
        <v>3.4394397115193307</v>
      </c>
      <c r="R13" s="40" t="s">
        <v>15</v>
      </c>
      <c r="S13" s="22">
        <f t="shared" si="0"/>
        <v>0.29074502938685387</v>
      </c>
    </row>
    <row r="14" spans="2:19" x14ac:dyDescent="0.35">
      <c r="B14" s="10" t="s">
        <v>214</v>
      </c>
      <c r="C14" s="11"/>
      <c r="D14" s="36" t="s">
        <v>26</v>
      </c>
      <c r="E14" s="37">
        <v>2.53E-2</v>
      </c>
      <c r="F14" s="38" t="s">
        <v>9</v>
      </c>
      <c r="G14" s="36" t="s">
        <v>27</v>
      </c>
      <c r="H14" s="37">
        <v>3.7400000000000003E-2</v>
      </c>
      <c r="I14" s="38" t="s">
        <v>9</v>
      </c>
      <c r="J14" s="23" t="s">
        <v>11</v>
      </c>
      <c r="K14" s="29">
        <f>(H14*1000-'Material - Abmessungen'!E25)*'Material - Abmessungen'!E20*0.96</f>
        <v>5.5350271212000006</v>
      </c>
      <c r="L14" s="32" t="s">
        <v>12</v>
      </c>
      <c r="M14" s="28" t="s">
        <v>13</v>
      </c>
      <c r="N14" s="31">
        <v>5.5720000000000001</v>
      </c>
      <c r="O14" s="32" t="s">
        <v>12</v>
      </c>
      <c r="P14" s="40" t="s">
        <v>14</v>
      </c>
      <c r="Q14" s="21">
        <f>((E14*1000-'Material - Abmessungen'!E17-('Material - Abmessungen'!E49*1000))*'Material - Abmessungen'!E10*0.697)/K14</f>
        <v>3.4845083795741889</v>
      </c>
      <c r="R14" s="20" t="s">
        <v>15</v>
      </c>
      <c r="S14" s="22">
        <f t="shared" si="0"/>
        <v>0.28698453011675673</v>
      </c>
    </row>
    <row r="15" spans="2:19" x14ac:dyDescent="0.35">
      <c r="B15" s="10" t="s">
        <v>215</v>
      </c>
      <c r="C15" s="11"/>
      <c r="D15" s="36" t="s">
        <v>29</v>
      </c>
      <c r="E15" s="37">
        <v>2.52E-2</v>
      </c>
      <c r="F15" s="38" t="s">
        <v>9</v>
      </c>
      <c r="G15" s="36" t="s">
        <v>30</v>
      </c>
      <c r="H15" s="37">
        <v>3.7499999999999999E-2</v>
      </c>
      <c r="I15" s="38" t="s">
        <v>9</v>
      </c>
      <c r="J15" s="23" t="s">
        <v>11</v>
      </c>
      <c r="K15" s="29">
        <f>(H15*1000-'Material - Abmessungen'!E25)*'Material - Abmessungen'!E20*0.96</f>
        <v>5.5527871211999988</v>
      </c>
      <c r="L15" s="30" t="s">
        <v>12</v>
      </c>
      <c r="M15" s="28" t="s">
        <v>13</v>
      </c>
      <c r="N15" s="31">
        <v>5.5726000000000004</v>
      </c>
      <c r="O15" s="30" t="s">
        <v>12</v>
      </c>
      <c r="P15" s="20" t="s">
        <v>14</v>
      </c>
      <c r="Q15" s="21">
        <f>((E15*1000-'Material - Abmessungen'!E17-('Material - Abmessungen'!E49*1000))*'Material - Abmessungen'!E10*0.697)/K15</f>
        <v>3.4284390288093158</v>
      </c>
      <c r="R15" s="20" t="s">
        <v>15</v>
      </c>
      <c r="S15" s="22">
        <f t="shared" si="0"/>
        <v>0.29167793027583644</v>
      </c>
    </row>
    <row r="17" spans="4:15" x14ac:dyDescent="0.35">
      <c r="D17" s="14" t="s">
        <v>31</v>
      </c>
      <c r="E17" s="14"/>
      <c r="F17" s="14"/>
      <c r="G17" s="14"/>
      <c r="H17" s="14"/>
      <c r="I17" s="14"/>
      <c r="J17" s="14"/>
      <c r="K17" s="14"/>
    </row>
    <row r="18" spans="4:15" x14ac:dyDescent="0.35"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</row>
    <row r="19" spans="4:15" x14ac:dyDescent="0.35">
      <c r="D19" s="10" t="s">
        <v>38</v>
      </c>
      <c r="E19" s="10"/>
      <c r="F19" s="10">
        <v>6.4125399999999999</v>
      </c>
      <c r="G19" s="10">
        <v>6.2872899999999996</v>
      </c>
      <c r="H19" s="10">
        <v>6.3945400000000001</v>
      </c>
      <c r="I19" s="10">
        <v>6.3012100000000002</v>
      </c>
      <c r="J19" s="10">
        <v>6.3471000000000002</v>
      </c>
      <c r="K19" s="10">
        <v>6.38706</v>
      </c>
    </row>
    <row r="20" spans="4:15" x14ac:dyDescent="0.35">
      <c r="D20" s="11" t="s">
        <v>39</v>
      </c>
      <c r="E20" s="11"/>
      <c r="F20" s="11">
        <v>9.3179999999999999E-2</v>
      </c>
      <c r="G20" s="11">
        <v>9.7879999999999995E-2</v>
      </c>
      <c r="H20" s="11">
        <v>9.3609999999999999E-2</v>
      </c>
      <c r="I20" s="11">
        <v>9.5519999999999994E-2</v>
      </c>
      <c r="J20" s="11">
        <v>9.4E-2</v>
      </c>
      <c r="K20" s="11">
        <v>9.5890000000000003E-2</v>
      </c>
    </row>
    <row r="21" spans="4:15" x14ac:dyDescent="0.35">
      <c r="D21" s="11" t="s">
        <v>40</v>
      </c>
      <c r="E21" s="11"/>
      <c r="F21" s="11">
        <v>5.5288199999999996</v>
      </c>
      <c r="G21" s="11">
        <v>5.4675099999999999</v>
      </c>
      <c r="H21" s="11">
        <v>5.5741800000000001</v>
      </c>
      <c r="I21" s="11">
        <v>5.4887100000000002</v>
      </c>
      <c r="J21" s="11">
        <v>5.5626100000000003</v>
      </c>
      <c r="K21" s="11">
        <v>5.5743</v>
      </c>
      <c r="O21" t="s">
        <v>41</v>
      </c>
    </row>
    <row r="22" spans="4:15" x14ac:dyDescent="0.35">
      <c r="D22" t="s">
        <v>42</v>
      </c>
      <c r="F22" s="12">
        <f t="shared" ref="F22:K22" si="1">F21/(F19+F20)</f>
        <v>0.84983983325442836</v>
      </c>
      <c r="G22" s="12">
        <f t="shared" si="1"/>
        <v>0.85628260484842222</v>
      </c>
      <c r="H22" s="12">
        <f t="shared" si="1"/>
        <v>0.85913241833188203</v>
      </c>
      <c r="I22" s="12">
        <f t="shared" si="1"/>
        <v>0.85804934708827796</v>
      </c>
      <c r="J22" s="12">
        <f t="shared" si="1"/>
        <v>0.86361180543695948</v>
      </c>
      <c r="K22" s="12">
        <f t="shared" si="1"/>
        <v>0.85984004195620822</v>
      </c>
      <c r="L22" t="s">
        <v>43</v>
      </c>
      <c r="M22" s="13">
        <f>(F22+G22+H22+I22+J22+K22)/6</f>
        <v>0.85779267515269642</v>
      </c>
      <c r="O22" s="39">
        <f>_xlfn.STDEV.S(F22,G22,H22,I22,J22,K22)</f>
        <v>4.5922279330350728E-3</v>
      </c>
    </row>
    <row r="24" spans="4:15" x14ac:dyDescent="0.35">
      <c r="D24" s="10" t="s">
        <v>44</v>
      </c>
      <c r="E24" s="10"/>
      <c r="F24" s="10">
        <v>5.4986899999999999</v>
      </c>
      <c r="G24" s="10">
        <v>5.4347599999999998</v>
      </c>
      <c r="H24" s="10">
        <v>5.5478199999999998</v>
      </c>
      <c r="I24" s="10">
        <v>5.4602199999999996</v>
      </c>
      <c r="J24" s="10">
        <v>5.53491</v>
      </c>
      <c r="K24" s="10">
        <v>5.5437500000000002</v>
      </c>
    </row>
    <row r="25" spans="4:15" x14ac:dyDescent="0.35">
      <c r="D25" s="11" t="s">
        <v>45</v>
      </c>
      <c r="E25" s="11"/>
      <c r="F25" s="11">
        <v>8.4080000000000002E-2</v>
      </c>
      <c r="G25" s="11">
        <v>8.4959999999999994E-2</v>
      </c>
      <c r="H25" s="11">
        <v>8.2170000000000007E-2</v>
      </c>
      <c r="I25" s="11">
        <v>8.2909999999999998E-2</v>
      </c>
      <c r="J25" s="11">
        <v>8.1799999999999998E-2</v>
      </c>
      <c r="K25" s="11">
        <v>8.4089999999999998E-2</v>
      </c>
    </row>
    <row r="26" spans="4:15" x14ac:dyDescent="0.35">
      <c r="D26" s="11" t="s">
        <v>46</v>
      </c>
      <c r="E26" s="11"/>
      <c r="F26" s="11">
        <v>5.5206</v>
      </c>
      <c r="G26" s="11">
        <v>5.4619999999999997</v>
      </c>
      <c r="H26" s="11">
        <v>5.57578</v>
      </c>
      <c r="I26" s="11">
        <v>5.4868800000000002</v>
      </c>
      <c r="J26" s="11">
        <v>5.5719799999999999</v>
      </c>
      <c r="K26" s="11">
        <v>5.5726399999999998</v>
      </c>
      <c r="O26" t="s">
        <v>41</v>
      </c>
    </row>
    <row r="27" spans="4:15" x14ac:dyDescent="0.35">
      <c r="D27" t="s">
        <v>42</v>
      </c>
      <c r="F27" s="12">
        <f t="shared" ref="F27:K27" si="2">F26/(F24+F25)</f>
        <v>0.9888639510493894</v>
      </c>
      <c r="G27" s="12">
        <f t="shared" si="2"/>
        <v>0.98954294783068708</v>
      </c>
      <c r="H27" s="12">
        <f t="shared" si="2"/>
        <v>0.99037120847461546</v>
      </c>
      <c r="I27" s="12">
        <f t="shared" si="2"/>
        <v>0.98985230366237131</v>
      </c>
      <c r="J27" s="12">
        <f t="shared" si="2"/>
        <v>0.99203626322170801</v>
      </c>
      <c r="K27" s="12">
        <f t="shared" si="2"/>
        <v>0.99019161880934781</v>
      </c>
      <c r="L27" t="s">
        <v>43</v>
      </c>
      <c r="M27" s="13">
        <f>(F27+G27+H27+I27+J27+K27)/6</f>
        <v>0.99014304884135307</v>
      </c>
      <c r="O27" s="39">
        <f>_xlfn.STDEV.S(F27,G27,H27,I27,J27,K27)</f>
        <v>1.0695252866140196E-3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S27"/>
  <sheetViews>
    <sheetView workbookViewId="0"/>
  </sheetViews>
  <sheetFormatPr baseColWidth="10" defaultRowHeight="14.5" x14ac:dyDescent="0.35"/>
  <cols>
    <col min="2" max="2" width="39.6328125" customWidth="1"/>
    <col min="3" max="3" width="11.54296875" customWidth="1"/>
    <col min="10" max="10" width="35.08984375" customWidth="1"/>
    <col min="12" max="12" width="23.81640625" customWidth="1"/>
  </cols>
  <sheetData>
    <row r="2" spans="2:19" x14ac:dyDescent="0.35">
      <c r="B2" s="1" t="s">
        <v>216</v>
      </c>
      <c r="C2" s="1"/>
      <c r="D2" s="1"/>
      <c r="E2" s="1"/>
      <c r="F2" s="1"/>
      <c r="G2" s="1"/>
      <c r="H2" s="1"/>
      <c r="I2" s="1"/>
      <c r="J2" s="75"/>
    </row>
    <row r="5" spans="2:19" x14ac:dyDescent="0.35">
      <c r="B5" s="1" t="s">
        <v>217</v>
      </c>
      <c r="C5" s="1"/>
      <c r="D5" s="1"/>
      <c r="E5" s="1"/>
      <c r="F5" s="1"/>
      <c r="G5" s="1"/>
      <c r="H5" s="1"/>
      <c r="I5" s="1"/>
    </row>
    <row r="6" spans="2:19" x14ac:dyDescent="0.35">
      <c r="B6" s="2" t="s">
        <v>2</v>
      </c>
      <c r="C6" s="2" t="s">
        <v>3</v>
      </c>
      <c r="D6" s="2" t="s">
        <v>4</v>
      </c>
    </row>
    <row r="8" spans="2:19" x14ac:dyDescent="0.35">
      <c r="C8" s="2" t="s">
        <v>5</v>
      </c>
      <c r="D8" s="2"/>
      <c r="E8" s="2"/>
      <c r="F8" s="2"/>
      <c r="G8" s="2" t="s">
        <v>6</v>
      </c>
      <c r="H8" s="2" t="s">
        <v>6</v>
      </c>
    </row>
    <row r="10" spans="2:19" x14ac:dyDescent="0.35">
      <c r="B10" s="10" t="s">
        <v>218</v>
      </c>
      <c r="C10" s="10"/>
      <c r="D10" s="33" t="s">
        <v>8</v>
      </c>
      <c r="E10" s="34">
        <v>2.4799999999999999E-2</v>
      </c>
      <c r="F10" s="35" t="s">
        <v>9</v>
      </c>
      <c r="G10" s="33" t="s">
        <v>10</v>
      </c>
      <c r="H10" s="34">
        <v>3.7199999999999997E-2</v>
      </c>
      <c r="I10" s="35" t="s">
        <v>9</v>
      </c>
      <c r="J10" s="23" t="s">
        <v>11</v>
      </c>
      <c r="K10" s="24">
        <f>(H10*1000-'Material - Abmessungen'!E25)*'Material - Abmessungen'!E20*0.96</f>
        <v>5.4995071211999988</v>
      </c>
      <c r="L10" s="25" t="s">
        <v>12</v>
      </c>
      <c r="M10" s="23" t="s">
        <v>13</v>
      </c>
      <c r="N10" s="26">
        <v>5.3414000000000001</v>
      </c>
      <c r="O10" s="27" t="s">
        <v>12</v>
      </c>
      <c r="P10" s="17" t="s">
        <v>14</v>
      </c>
      <c r="Q10" s="18">
        <f>((E10*1000-'Material - Abmessungen'!E17-('Material - Abmessungen'!E51*1000))*'Material - Abmessungen'!E10*0.697)/K10</f>
        <v>3.4942288984682364</v>
      </c>
      <c r="R10" s="17" t="s">
        <v>15</v>
      </c>
      <c r="S10" s="19">
        <f t="shared" ref="S10:S15" si="0">Q10^(-1)</f>
        <v>0.2861861741336893</v>
      </c>
    </row>
    <row r="11" spans="2:19" x14ac:dyDescent="0.35">
      <c r="B11" s="10" t="s">
        <v>219</v>
      </c>
      <c r="C11" s="15"/>
      <c r="D11" s="33" t="s">
        <v>17</v>
      </c>
      <c r="E11" s="37">
        <v>2.4799999999999999E-2</v>
      </c>
      <c r="F11" s="38" t="s">
        <v>9</v>
      </c>
      <c r="G11" s="36" t="s">
        <v>18</v>
      </c>
      <c r="H11" s="37">
        <v>3.78E-2</v>
      </c>
      <c r="I11" s="38" t="s">
        <v>9</v>
      </c>
      <c r="J11" s="23" t="s">
        <v>11</v>
      </c>
      <c r="K11" s="29">
        <f>(H11*1000-'Material - Abmessungen'!E25)*'Material - Abmessungen'!E20*0.96</f>
        <v>5.6060671211999988</v>
      </c>
      <c r="L11" s="30" t="s">
        <v>12</v>
      </c>
      <c r="M11" s="28" t="s">
        <v>13</v>
      </c>
      <c r="N11" s="31">
        <v>5.452</v>
      </c>
      <c r="O11" s="32" t="s">
        <v>12</v>
      </c>
      <c r="P11" s="20" t="s">
        <v>14</v>
      </c>
      <c r="Q11" s="21">
        <f>((E11*1000-'Material - Abmessungen'!E17-('Material - Abmessungen'!E51*1000))*'Material - Abmessungen'!E10*0.697)/K11</f>
        <v>3.4278106727547573</v>
      </c>
      <c r="R11" s="20" t="s">
        <v>15</v>
      </c>
      <c r="S11" s="22">
        <f t="shared" si="0"/>
        <v>0.29173139810442061</v>
      </c>
    </row>
    <row r="12" spans="2:19" x14ac:dyDescent="0.35">
      <c r="B12" s="10" t="s">
        <v>220</v>
      </c>
      <c r="C12" s="15"/>
      <c r="D12" s="36" t="s">
        <v>20</v>
      </c>
      <c r="E12" s="37">
        <v>2.4899999999999999E-2</v>
      </c>
      <c r="F12" s="38" t="s">
        <v>9</v>
      </c>
      <c r="G12" s="36" t="s">
        <v>21</v>
      </c>
      <c r="H12" s="37">
        <v>3.8600000000000002E-2</v>
      </c>
      <c r="I12" s="38" t="s">
        <v>9</v>
      </c>
      <c r="J12" s="23" t="s">
        <v>11</v>
      </c>
      <c r="K12" s="29">
        <f>(H12*1000-'Material - Abmessungen'!E25)*'Material - Abmessungen'!E20*0.96</f>
        <v>5.7481471211999997</v>
      </c>
      <c r="L12" s="30" t="s">
        <v>12</v>
      </c>
      <c r="M12" s="28" t="s">
        <v>13</v>
      </c>
      <c r="N12" s="31">
        <v>5.452</v>
      </c>
      <c r="O12" s="32" t="s">
        <v>12</v>
      </c>
      <c r="P12" s="20" t="s">
        <v>14</v>
      </c>
      <c r="Q12" s="21">
        <f>((E12*1000-'Material - Abmessungen'!E17-('Material - Abmessungen'!E51*1000))*'Material - Abmessungen'!E10*0.697)/K12</f>
        <v>3.3864813477782238</v>
      </c>
      <c r="R12" s="20" t="s">
        <v>15</v>
      </c>
      <c r="S12" s="22">
        <f t="shared" si="0"/>
        <v>0.29529174895827265</v>
      </c>
    </row>
    <row r="13" spans="2:19" x14ac:dyDescent="0.35">
      <c r="B13" s="10" t="s">
        <v>221</v>
      </c>
      <c r="C13" s="15"/>
      <c r="D13" s="36" t="s">
        <v>109</v>
      </c>
      <c r="E13" s="37">
        <v>2.4899999999999999E-2</v>
      </c>
      <c r="F13" s="38" t="s">
        <v>9</v>
      </c>
      <c r="G13" s="36" t="s">
        <v>24</v>
      </c>
      <c r="H13" s="37">
        <v>3.8300000000000001E-2</v>
      </c>
      <c r="I13" s="38" t="s">
        <v>9</v>
      </c>
      <c r="J13" s="23" t="s">
        <v>11</v>
      </c>
      <c r="K13" s="29">
        <f>(H13*1000-'Material - Abmessungen'!E25)*'Material - Abmessungen'!E20*0.96</f>
        <v>5.6948671211999988</v>
      </c>
      <c r="L13" s="30" t="s">
        <v>12</v>
      </c>
      <c r="M13" s="28" t="s">
        <v>13</v>
      </c>
      <c r="N13" s="31">
        <v>5.5056000000000003</v>
      </c>
      <c r="O13" s="32" t="s">
        <v>12</v>
      </c>
      <c r="P13" s="40" t="s">
        <v>14</v>
      </c>
      <c r="Q13" s="21">
        <f>((E13*1000-'Material - Abmessungen'!E17-('Material - Abmessungen'!E51*1000))*'Material - Abmessungen'!E10*0.697)/K13</f>
        <v>3.418164567486361</v>
      </c>
      <c r="R13" s="40" t="s">
        <v>15</v>
      </c>
      <c r="S13" s="22">
        <f t="shared" si="0"/>
        <v>0.29255466793846524</v>
      </c>
    </row>
    <row r="14" spans="2:19" x14ac:dyDescent="0.35">
      <c r="B14" s="10" t="s">
        <v>222</v>
      </c>
      <c r="C14" s="11"/>
      <c r="D14" s="36" t="s">
        <v>223</v>
      </c>
      <c r="E14" s="37">
        <v>2.4899999999999999E-2</v>
      </c>
      <c r="F14" s="38" t="s">
        <v>9</v>
      </c>
      <c r="G14" s="36" t="s">
        <v>27</v>
      </c>
      <c r="H14" s="37">
        <v>3.7900000000000003E-2</v>
      </c>
      <c r="I14" s="38" t="s">
        <v>9</v>
      </c>
      <c r="J14" s="23" t="s">
        <v>11</v>
      </c>
      <c r="K14" s="29">
        <f>(H14*1000-'Material - Abmessungen'!E25)*'Material - Abmessungen'!E20*0.96</f>
        <v>5.6238271212000006</v>
      </c>
      <c r="L14" s="32" t="s">
        <v>12</v>
      </c>
      <c r="M14" s="28" t="s">
        <v>13</v>
      </c>
      <c r="N14" s="31">
        <v>5.4170999999999996</v>
      </c>
      <c r="O14" s="32" t="s">
        <v>12</v>
      </c>
      <c r="P14" s="40" t="s">
        <v>14</v>
      </c>
      <c r="Q14" s="21">
        <f>((E14*1000-'Material - Abmessungen'!E17-('Material - Abmessungen'!E51*1000))*'Material - Abmessungen'!E10*0.697)/K14</f>
        <v>3.4613427103490477</v>
      </c>
      <c r="R14" s="20" t="s">
        <v>15</v>
      </c>
      <c r="S14" s="22">
        <f t="shared" si="0"/>
        <v>0.2889052265787222</v>
      </c>
    </row>
    <row r="15" spans="2:19" x14ac:dyDescent="0.35">
      <c r="B15" s="10" t="s">
        <v>224</v>
      </c>
      <c r="C15" s="11"/>
      <c r="D15" s="36" t="s">
        <v>225</v>
      </c>
      <c r="E15" s="37">
        <v>2.5000000000000001E-2</v>
      </c>
      <c r="F15" s="38" t="s">
        <v>9</v>
      </c>
      <c r="G15" s="36" t="s">
        <v>30</v>
      </c>
      <c r="H15" s="37">
        <v>3.8100000000000002E-2</v>
      </c>
      <c r="I15" s="38" t="s">
        <v>9</v>
      </c>
      <c r="J15" s="23" t="s">
        <v>11</v>
      </c>
      <c r="K15" s="29">
        <f>(H15*1000-'Material - Abmessungen'!E25)*'Material - Abmessungen'!E20*0.96</f>
        <v>5.6593471211999997</v>
      </c>
      <c r="L15" s="30" t="s">
        <v>12</v>
      </c>
      <c r="M15" s="28" t="s">
        <v>13</v>
      </c>
      <c r="N15" s="31">
        <v>5.4833999999999996</v>
      </c>
      <c r="O15" s="30" t="s">
        <v>12</v>
      </c>
      <c r="P15" s="20" t="s">
        <v>14</v>
      </c>
      <c r="Q15" s="21">
        <f>((E15*1000-'Material - Abmessungen'!E17-('Material - Abmessungen'!E51*1000))*'Material - Abmessungen'!E10*0.697)/K15</f>
        <v>3.4836967742046645</v>
      </c>
      <c r="R15" s="20" t="s">
        <v>15</v>
      </c>
      <c r="S15" s="22">
        <f t="shared" si="0"/>
        <v>0.28705138960560139</v>
      </c>
    </row>
    <row r="17" spans="4:15" x14ac:dyDescent="0.35">
      <c r="D17" s="14" t="s">
        <v>31</v>
      </c>
      <c r="E17" s="14"/>
      <c r="F17" s="14"/>
      <c r="G17" s="14"/>
      <c r="H17" s="14"/>
      <c r="I17" s="14"/>
      <c r="J17" s="14"/>
      <c r="K17" s="14"/>
    </row>
    <row r="18" spans="4:15" x14ac:dyDescent="0.35"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</row>
    <row r="19" spans="4:15" x14ac:dyDescent="0.35">
      <c r="D19" s="10" t="s">
        <v>38</v>
      </c>
      <c r="E19" s="10"/>
      <c r="F19" s="10">
        <v>6.3104199999999997</v>
      </c>
      <c r="G19" s="10">
        <v>6.4275700000000002</v>
      </c>
      <c r="H19" s="10">
        <v>6.4726100000000004</v>
      </c>
      <c r="I19" s="10">
        <v>6.5152200000000002</v>
      </c>
      <c r="J19" s="10">
        <v>6.4279500000000001</v>
      </c>
      <c r="K19" s="10">
        <v>6.52325</v>
      </c>
    </row>
    <row r="20" spans="4:15" x14ac:dyDescent="0.35">
      <c r="D20" s="11" t="s">
        <v>39</v>
      </c>
      <c r="E20" s="11"/>
      <c r="F20" s="11">
        <v>9.4579999999999997E-2</v>
      </c>
      <c r="G20" s="11">
        <v>9.5119999999999996E-2</v>
      </c>
      <c r="H20" s="11">
        <v>9.9570000000000006E-2</v>
      </c>
      <c r="I20" s="11">
        <v>9.869E-2</v>
      </c>
      <c r="J20" s="11">
        <v>9.5089999999999994E-2</v>
      </c>
      <c r="K20" s="11">
        <v>9.3789999999999998E-2</v>
      </c>
    </row>
    <row r="21" spans="4:15" x14ac:dyDescent="0.35">
      <c r="D21" s="11" t="s">
        <v>40</v>
      </c>
      <c r="E21" s="11"/>
      <c r="F21" s="11">
        <v>5.3855300000000002</v>
      </c>
      <c r="G21" s="11">
        <v>5.4946099999999998</v>
      </c>
      <c r="H21" s="11">
        <v>5.5007200000000003</v>
      </c>
      <c r="I21" s="11">
        <v>5.5512800000000002</v>
      </c>
      <c r="J21" s="11">
        <v>5.4629500000000002</v>
      </c>
      <c r="K21" s="11">
        <v>5.5302100000000003</v>
      </c>
      <c r="O21" t="s">
        <v>41</v>
      </c>
    </row>
    <row r="22" spans="4:15" x14ac:dyDescent="0.35">
      <c r="D22" t="s">
        <v>42</v>
      </c>
      <c r="F22" s="12">
        <f t="shared" ref="F22:K22" si="1">F21/(F19+F20)</f>
        <v>0.84083216237314606</v>
      </c>
      <c r="G22" s="12">
        <f t="shared" si="1"/>
        <v>0.8423840470726035</v>
      </c>
      <c r="H22" s="12">
        <f t="shared" si="1"/>
        <v>0.83697038121293088</v>
      </c>
      <c r="I22" s="12">
        <f t="shared" si="1"/>
        <v>0.83933407016424466</v>
      </c>
      <c r="J22" s="12">
        <f t="shared" si="1"/>
        <v>0.83748528293556379</v>
      </c>
      <c r="K22" s="12">
        <f t="shared" si="1"/>
        <v>0.83575284417201645</v>
      </c>
      <c r="L22" t="s">
        <v>43</v>
      </c>
      <c r="M22" s="13">
        <f>(F22+G22+H22+I22+J22+K22)/6</f>
        <v>0.83879313132175082</v>
      </c>
      <c r="O22" s="39">
        <f>_xlfn.STDEV.S(F22,G22,H22,I22,J22,K22)</f>
        <v>2.5148029625753788E-3</v>
      </c>
    </row>
    <row r="24" spans="4:15" x14ac:dyDescent="0.35">
      <c r="D24" s="10" t="s">
        <v>44</v>
      </c>
      <c r="E24" s="10"/>
      <c r="F24" s="10">
        <v>5.35893</v>
      </c>
      <c r="G24" s="10">
        <v>5.4668999999999999</v>
      </c>
      <c r="H24" s="10">
        <v>5.4712199999999998</v>
      </c>
      <c r="I24" s="10">
        <v>5.5229699999999999</v>
      </c>
      <c r="J24" s="10">
        <v>5.4364699999999999</v>
      </c>
      <c r="K24" s="10">
        <v>5.50603</v>
      </c>
    </row>
    <row r="25" spans="4:15" x14ac:dyDescent="0.35">
      <c r="D25" s="11" t="s">
        <v>45</v>
      </c>
      <c r="E25" s="11"/>
      <c r="F25" s="11">
        <v>8.0990000000000006E-2</v>
      </c>
      <c r="G25" s="11">
        <v>8.2379999999999995E-2</v>
      </c>
      <c r="H25" s="11">
        <v>8.2489999999999994E-2</v>
      </c>
      <c r="I25" s="11">
        <v>8.3210000000000006E-2</v>
      </c>
      <c r="J25" s="11">
        <v>8.1640000000000004E-2</v>
      </c>
      <c r="K25" s="11">
        <v>8.0479999999999996E-2</v>
      </c>
    </row>
    <row r="26" spans="4:15" x14ac:dyDescent="0.35">
      <c r="D26" s="11" t="s">
        <v>46</v>
      </c>
      <c r="E26" s="11"/>
      <c r="F26" s="11">
        <v>5.3413700000000004</v>
      </c>
      <c r="G26" s="11">
        <v>5.4519900000000003</v>
      </c>
      <c r="H26" s="11">
        <v>5.4519599999999997</v>
      </c>
      <c r="I26" s="11">
        <v>5.5055800000000001</v>
      </c>
      <c r="J26" s="11">
        <v>5.4171100000000001</v>
      </c>
      <c r="K26" s="11">
        <v>5.4833499999999997</v>
      </c>
      <c r="O26" t="s">
        <v>41</v>
      </c>
    </row>
    <row r="27" spans="4:15" x14ac:dyDescent="0.35">
      <c r="D27" t="s">
        <v>42</v>
      </c>
      <c r="F27" s="12">
        <f t="shared" ref="F27:K27" si="2">F26/(F24+F25)</f>
        <v>0.98188392476359954</v>
      </c>
      <c r="G27" s="12">
        <f t="shared" si="2"/>
        <v>0.98246799584811018</v>
      </c>
      <c r="H27" s="12">
        <f t="shared" si="2"/>
        <v>0.98167891373514282</v>
      </c>
      <c r="I27" s="12">
        <f t="shared" si="2"/>
        <v>0.982055517304118</v>
      </c>
      <c r="J27" s="12">
        <f t="shared" si="2"/>
        <v>0.98169663163655674</v>
      </c>
      <c r="K27" s="12">
        <f t="shared" si="2"/>
        <v>0.98153408836643985</v>
      </c>
      <c r="L27" t="s">
        <v>43</v>
      </c>
      <c r="M27" s="13">
        <f>(F27+G27+H27+I27+J27+K27)/6</f>
        <v>0.98188617860899452</v>
      </c>
      <c r="O27" s="39">
        <f>_xlfn.STDEV.S(F27,G27,H27,I27,J27,K27)</f>
        <v>3.3765257138444754E-4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80"/>
  <sheetViews>
    <sheetView workbookViewId="0"/>
  </sheetViews>
  <sheetFormatPr baseColWidth="10" defaultRowHeight="14.5" x14ac:dyDescent="0.35"/>
  <cols>
    <col min="2" max="2" width="23.90625" customWidth="1"/>
    <col min="3" max="3" width="29.453125" customWidth="1"/>
    <col min="4" max="4" width="32.90625" customWidth="1"/>
    <col min="5" max="5" width="12" customWidth="1"/>
    <col min="6" max="6" width="20.1796875" customWidth="1"/>
    <col min="8" max="8" width="12.90625" customWidth="1"/>
  </cols>
  <sheetData>
    <row r="2" spans="2:8" x14ac:dyDescent="0.35">
      <c r="B2" s="3" t="s">
        <v>226</v>
      </c>
      <c r="C2" s="3" t="s">
        <v>227</v>
      </c>
      <c r="D2" s="3" t="s">
        <v>228</v>
      </c>
      <c r="E2" s="3" t="s">
        <v>229</v>
      </c>
      <c r="F2" s="3" t="s">
        <v>230</v>
      </c>
      <c r="G2" s="3" t="s">
        <v>231</v>
      </c>
      <c r="H2" s="3" t="s">
        <v>232</v>
      </c>
    </row>
    <row r="3" spans="2:8" x14ac:dyDescent="0.35">
      <c r="B3" s="3" t="s">
        <v>233</v>
      </c>
      <c r="C3" s="3" t="s">
        <v>234</v>
      </c>
      <c r="D3" s="3" t="s">
        <v>235</v>
      </c>
      <c r="E3" s="4" t="s">
        <v>236</v>
      </c>
      <c r="F3" s="3" t="s">
        <v>230</v>
      </c>
      <c r="G3" s="3" t="s">
        <v>237</v>
      </c>
      <c r="H3" s="3"/>
    </row>
    <row r="5" spans="2:8" x14ac:dyDescent="0.35">
      <c r="B5" t="s">
        <v>238</v>
      </c>
    </row>
    <row r="6" spans="2:8" x14ac:dyDescent="0.35">
      <c r="C6" s="5" t="s">
        <v>239</v>
      </c>
      <c r="D6" s="5"/>
      <c r="E6" s="5"/>
      <c r="F6" s="5"/>
    </row>
    <row r="7" spans="2:8" x14ac:dyDescent="0.35">
      <c r="D7" t="s">
        <v>240</v>
      </c>
      <c r="E7">
        <v>12.49</v>
      </c>
      <c r="F7" t="s">
        <v>241</v>
      </c>
    </row>
    <row r="8" spans="2:8" x14ac:dyDescent="0.35">
      <c r="D8" t="s">
        <v>242</v>
      </c>
      <c r="E8">
        <v>3.8</v>
      </c>
      <c r="F8" t="s">
        <v>241</v>
      </c>
    </row>
    <row r="9" spans="2:8" x14ac:dyDescent="0.35">
      <c r="D9" t="s">
        <v>243</v>
      </c>
      <c r="E9" s="16">
        <f>E8/E7*100</f>
        <v>30.424339471577262</v>
      </c>
      <c r="F9" t="s">
        <v>244</v>
      </c>
    </row>
    <row r="10" spans="2:8" x14ac:dyDescent="0.35">
      <c r="D10" t="s">
        <v>245</v>
      </c>
      <c r="E10">
        <v>3.5790000000000002</v>
      </c>
      <c r="F10" t="s">
        <v>246</v>
      </c>
    </row>
    <row r="11" spans="2:8" x14ac:dyDescent="0.35">
      <c r="D11" t="s">
        <v>247</v>
      </c>
      <c r="E11" s="16">
        <f>E10*(E9/100)</f>
        <v>1.0888871096877502</v>
      </c>
      <c r="F11" t="s">
        <v>246</v>
      </c>
    </row>
    <row r="12" spans="2:8" x14ac:dyDescent="0.35">
      <c r="D12" t="s">
        <v>248</v>
      </c>
      <c r="E12">
        <v>8.9600000000000009</v>
      </c>
      <c r="F12" t="s">
        <v>249</v>
      </c>
    </row>
    <row r="13" spans="2:8" x14ac:dyDescent="0.35">
      <c r="D13" t="s">
        <v>250</v>
      </c>
      <c r="E13">
        <v>15</v>
      </c>
      <c r="F13" t="s">
        <v>251</v>
      </c>
    </row>
    <row r="14" spans="2:8" x14ac:dyDescent="0.35">
      <c r="D14" t="s">
        <v>252</v>
      </c>
      <c r="E14">
        <f>((E13^2)/4)*3.1415/100</f>
        <v>1.7670937500000001</v>
      </c>
      <c r="F14" t="s">
        <v>253</v>
      </c>
    </row>
    <row r="15" spans="2:8" x14ac:dyDescent="0.35">
      <c r="D15" t="s">
        <v>254</v>
      </c>
      <c r="E15">
        <f>E8*E14</f>
        <v>6.7149562500000002</v>
      </c>
      <c r="F15" t="s">
        <v>12</v>
      </c>
    </row>
    <row r="16" spans="2:8" x14ac:dyDescent="0.35">
      <c r="D16" t="s">
        <v>255</v>
      </c>
      <c r="E16">
        <v>10.5</v>
      </c>
      <c r="F16" t="s">
        <v>256</v>
      </c>
    </row>
    <row r="17" spans="3:6" x14ac:dyDescent="0.35">
      <c r="D17" t="s">
        <v>257</v>
      </c>
      <c r="E17">
        <f>(E16/10000)*E14*E12*1000</f>
        <v>16.624818000000005</v>
      </c>
      <c r="F17" t="s">
        <v>258</v>
      </c>
    </row>
    <row r="18" spans="3:6" x14ac:dyDescent="0.35">
      <c r="C18" s="5" t="s">
        <v>259</v>
      </c>
      <c r="D18" s="5"/>
      <c r="E18" s="5"/>
      <c r="F18" s="5"/>
    </row>
    <row r="19" spans="3:6" x14ac:dyDescent="0.35">
      <c r="D19" t="s">
        <v>240</v>
      </c>
      <c r="E19">
        <v>3.8</v>
      </c>
      <c r="F19" t="s">
        <v>260</v>
      </c>
    </row>
    <row r="20" spans="3:6" x14ac:dyDescent="0.35">
      <c r="D20" t="s">
        <v>245</v>
      </c>
      <c r="E20">
        <v>0.185</v>
      </c>
      <c r="F20" t="s">
        <v>246</v>
      </c>
    </row>
    <row r="21" spans="3:6" x14ac:dyDescent="0.35">
      <c r="D21" t="s">
        <v>261</v>
      </c>
      <c r="E21">
        <v>2.7</v>
      </c>
      <c r="F21" t="s">
        <v>249</v>
      </c>
    </row>
    <row r="22" spans="3:6" x14ac:dyDescent="0.35">
      <c r="D22" t="s">
        <v>262</v>
      </c>
      <c r="E22">
        <v>14</v>
      </c>
      <c r="F22" t="s">
        <v>251</v>
      </c>
    </row>
    <row r="23" spans="3:6" x14ac:dyDescent="0.35">
      <c r="D23" t="s">
        <v>263</v>
      </c>
      <c r="E23">
        <f>((E22^2)/4)*3.1415/100</f>
        <v>1.5393350000000001</v>
      </c>
      <c r="F23" t="s">
        <v>253</v>
      </c>
    </row>
    <row r="24" spans="3:6" x14ac:dyDescent="0.35">
      <c r="D24" t="s">
        <v>264</v>
      </c>
      <c r="E24">
        <v>15</v>
      </c>
      <c r="F24" t="s">
        <v>256</v>
      </c>
    </row>
    <row r="25" spans="3:6" x14ac:dyDescent="0.35">
      <c r="D25" t="s">
        <v>265</v>
      </c>
      <c r="E25">
        <f>(E24/10000)*E23*E21*1000</f>
        <v>6.2343067500000018</v>
      </c>
      <c r="F25" t="s">
        <v>258</v>
      </c>
    </row>
    <row r="26" spans="3:6" x14ac:dyDescent="0.35">
      <c r="C26" s="5" t="s">
        <v>266</v>
      </c>
      <c r="D26" s="5"/>
      <c r="E26" s="5"/>
      <c r="F26" s="5"/>
    </row>
    <row r="27" spans="3:6" x14ac:dyDescent="0.35">
      <c r="D27" t="s">
        <v>240</v>
      </c>
      <c r="E27">
        <v>3.8</v>
      </c>
      <c r="F27" t="s">
        <v>260</v>
      </c>
    </row>
    <row r="28" spans="3:6" x14ac:dyDescent="0.35">
      <c r="D28" t="s">
        <v>245</v>
      </c>
      <c r="E28">
        <v>0.19</v>
      </c>
      <c r="F28" t="s">
        <v>246</v>
      </c>
    </row>
    <row r="29" spans="3:6" x14ac:dyDescent="0.35">
      <c r="D29" t="s">
        <v>261</v>
      </c>
      <c r="E29">
        <v>2.7</v>
      </c>
      <c r="F29" t="s">
        <v>249</v>
      </c>
    </row>
    <row r="30" spans="3:6" x14ac:dyDescent="0.35">
      <c r="D30" t="s">
        <v>267</v>
      </c>
      <c r="E30" t="s">
        <v>268</v>
      </c>
      <c r="F30" t="s">
        <v>251</v>
      </c>
    </row>
    <row r="31" spans="3:6" x14ac:dyDescent="0.35">
      <c r="D31" t="s">
        <v>269</v>
      </c>
      <c r="E31">
        <f>((30*30)-3*((3*3)-((3.1415*3^2)/4))+(13*10)+((3*3)-((3.1415*3^2)/4)))/100</f>
        <v>10.261367499999999</v>
      </c>
      <c r="F31" t="s">
        <v>253</v>
      </c>
    </row>
    <row r="32" spans="3:6" x14ac:dyDescent="0.35">
      <c r="D32" t="s">
        <v>264</v>
      </c>
      <c r="E32">
        <v>12</v>
      </c>
      <c r="F32" t="s">
        <v>256</v>
      </c>
    </row>
    <row r="33" spans="3:6" x14ac:dyDescent="0.35">
      <c r="D33" t="s">
        <v>265</v>
      </c>
      <c r="E33">
        <f>(E32/10000)*E31*E29*1000</f>
        <v>33.246830699999997</v>
      </c>
      <c r="F33" t="s">
        <v>258</v>
      </c>
    </row>
    <row r="34" spans="3:6" x14ac:dyDescent="0.35">
      <c r="C34" s="5" t="s">
        <v>270</v>
      </c>
      <c r="D34" s="5"/>
      <c r="E34" s="5"/>
      <c r="F34" s="5"/>
    </row>
    <row r="35" spans="3:6" x14ac:dyDescent="0.35">
      <c r="D35" t="s">
        <v>240</v>
      </c>
      <c r="E35">
        <v>12.49</v>
      </c>
      <c r="F35" t="s">
        <v>241</v>
      </c>
    </row>
    <row r="36" spans="3:6" x14ac:dyDescent="0.35">
      <c r="D36" t="s">
        <v>242</v>
      </c>
      <c r="E36">
        <v>3.8</v>
      </c>
      <c r="F36" t="s">
        <v>241</v>
      </c>
    </row>
    <row r="37" spans="3:6" x14ac:dyDescent="0.35">
      <c r="D37" t="s">
        <v>243</v>
      </c>
      <c r="E37" s="16">
        <f>E36/E35*100</f>
        <v>30.424339471577262</v>
      </c>
      <c r="F37" t="s">
        <v>244</v>
      </c>
    </row>
    <row r="38" spans="3:6" x14ac:dyDescent="0.35">
      <c r="D38" t="s">
        <v>245</v>
      </c>
      <c r="E38">
        <v>3.5790000000000002</v>
      </c>
      <c r="F38" t="s">
        <v>246</v>
      </c>
    </row>
    <row r="39" spans="3:6" x14ac:dyDescent="0.35">
      <c r="D39" t="s">
        <v>247</v>
      </c>
      <c r="E39" s="16">
        <f>E38*(E37/100)</f>
        <v>1.0888871096877502</v>
      </c>
      <c r="F39" t="s">
        <v>246</v>
      </c>
    </row>
    <row r="40" spans="3:6" x14ac:dyDescent="0.35">
      <c r="D40" t="s">
        <v>248</v>
      </c>
      <c r="E40">
        <v>8.9600000000000009</v>
      </c>
      <c r="F40" t="s">
        <v>249</v>
      </c>
    </row>
    <row r="41" spans="3:6" x14ac:dyDescent="0.35">
      <c r="D41" t="s">
        <v>271</v>
      </c>
      <c r="E41" t="s">
        <v>272</v>
      </c>
      <c r="F41" t="s">
        <v>251</v>
      </c>
    </row>
    <row r="42" spans="3:6" x14ac:dyDescent="0.35">
      <c r="D42" t="s">
        <v>273</v>
      </c>
      <c r="E42">
        <f>((33*33)-3*((3*3)-((3.1415*3^2)/4))+(13*10)+((3*3)-((3.1415*3^2)/4)))/100</f>
        <v>12.151367499999999</v>
      </c>
      <c r="F42" t="s">
        <v>253</v>
      </c>
    </row>
    <row r="43" spans="3:6" x14ac:dyDescent="0.35">
      <c r="D43" t="s">
        <v>255</v>
      </c>
      <c r="E43">
        <v>10.5</v>
      </c>
      <c r="F43" t="s">
        <v>256</v>
      </c>
    </row>
    <row r="44" spans="3:6" x14ac:dyDescent="0.35">
      <c r="D44" t="s">
        <v>257</v>
      </c>
      <c r="E44">
        <f>(E43/10000)*E42*E40*1000</f>
        <v>114.32006543999999</v>
      </c>
      <c r="F44" t="s">
        <v>258</v>
      </c>
    </row>
    <row r="46" spans="3:6" x14ac:dyDescent="0.35">
      <c r="C46" s="5" t="s">
        <v>274</v>
      </c>
      <c r="D46" s="5"/>
      <c r="E46" s="5"/>
      <c r="F46" s="5"/>
    </row>
    <row r="47" spans="3:6" x14ac:dyDescent="0.35">
      <c r="C47" s="43"/>
      <c r="D47" s="43" t="s">
        <v>275</v>
      </c>
      <c r="E47" s="43">
        <v>0.53400000000000003</v>
      </c>
      <c r="F47" s="43" t="s">
        <v>249</v>
      </c>
    </row>
    <row r="48" spans="3:6" x14ac:dyDescent="0.35">
      <c r="C48" s="42" t="s">
        <v>276</v>
      </c>
      <c r="D48" s="41"/>
      <c r="E48" s="41"/>
      <c r="F48" s="41"/>
    </row>
    <row r="49" spans="2:6" x14ac:dyDescent="0.35">
      <c r="D49" t="s">
        <v>277</v>
      </c>
      <c r="E49">
        <f>(10/10000)*E14*E47</f>
        <v>9.4362806250000014E-4</v>
      </c>
      <c r="F49" t="s">
        <v>9</v>
      </c>
    </row>
    <row r="50" spans="2:6" x14ac:dyDescent="0.35">
      <c r="C50" s="42" t="s">
        <v>278</v>
      </c>
      <c r="D50" s="41"/>
      <c r="E50" s="41"/>
      <c r="F50" s="41"/>
    </row>
    <row r="51" spans="2:6" x14ac:dyDescent="0.35">
      <c r="D51" t="s">
        <v>279</v>
      </c>
      <c r="E51">
        <f>(5/10000)*E14*E47</f>
        <v>4.7181403125000007E-4</v>
      </c>
      <c r="F51" t="s">
        <v>9</v>
      </c>
    </row>
    <row r="55" spans="2:6" x14ac:dyDescent="0.35">
      <c r="B55" s="9" t="s">
        <v>280</v>
      </c>
      <c r="C55" s="8"/>
      <c r="D55" s="8"/>
      <c r="E55" s="8"/>
      <c r="F55" s="8"/>
    </row>
    <row r="56" spans="2:6" x14ac:dyDescent="0.35">
      <c r="D56" t="s">
        <v>281</v>
      </c>
      <c r="E56" t="s">
        <v>282</v>
      </c>
      <c r="F56" t="s">
        <v>283</v>
      </c>
    </row>
    <row r="57" spans="2:6" x14ac:dyDescent="0.35">
      <c r="C57" t="s">
        <v>284</v>
      </c>
      <c r="D57" s="6" t="s">
        <v>236</v>
      </c>
      <c r="E57">
        <v>1</v>
      </c>
      <c r="F57" s="6" t="s">
        <v>236</v>
      </c>
    </row>
    <row r="58" spans="2:6" x14ac:dyDescent="0.35">
      <c r="C58" t="s">
        <v>285</v>
      </c>
      <c r="D58" s="6" t="s">
        <v>236</v>
      </c>
      <c r="E58">
        <v>1</v>
      </c>
      <c r="F58" s="6" t="s">
        <v>236</v>
      </c>
    </row>
    <row r="59" spans="2:6" x14ac:dyDescent="0.35">
      <c r="C59" t="s">
        <v>286</v>
      </c>
      <c r="D59">
        <v>1</v>
      </c>
      <c r="E59">
        <v>1</v>
      </c>
      <c r="F59">
        <f>D59*E59</f>
        <v>1</v>
      </c>
    </row>
    <row r="60" spans="2:6" x14ac:dyDescent="0.35">
      <c r="C60" t="s">
        <v>287</v>
      </c>
      <c r="D60">
        <v>0.2</v>
      </c>
      <c r="E60">
        <v>2</v>
      </c>
      <c r="F60">
        <f>F59+D60*E60</f>
        <v>1.4</v>
      </c>
    </row>
    <row r="61" spans="2:6" x14ac:dyDescent="0.35">
      <c r="C61" t="s">
        <v>288</v>
      </c>
      <c r="D61">
        <v>0.1</v>
      </c>
      <c r="E61">
        <v>1</v>
      </c>
      <c r="F61">
        <f>F60+D61*E61</f>
        <v>1.5</v>
      </c>
    </row>
    <row r="62" spans="2:6" x14ac:dyDescent="0.35">
      <c r="C62" t="s">
        <v>289</v>
      </c>
      <c r="D62">
        <v>0.08</v>
      </c>
      <c r="E62">
        <v>1</v>
      </c>
      <c r="F62">
        <f>F61+D62*E62</f>
        <v>1.58</v>
      </c>
    </row>
    <row r="63" spans="2:6" x14ac:dyDescent="0.35">
      <c r="C63" t="s">
        <v>290</v>
      </c>
      <c r="D63">
        <v>0.5</v>
      </c>
      <c r="E63">
        <v>1</v>
      </c>
      <c r="F63">
        <f>F62+D63*E63</f>
        <v>2.08</v>
      </c>
    </row>
    <row r="64" spans="2:6" x14ac:dyDescent="0.35">
      <c r="C64" t="s">
        <v>291</v>
      </c>
      <c r="D64" s="6" t="s">
        <v>236</v>
      </c>
      <c r="E64">
        <v>1</v>
      </c>
    </row>
    <row r="65" spans="2:6" x14ac:dyDescent="0.35">
      <c r="C65" t="s">
        <v>292</v>
      </c>
      <c r="D65" s="6" t="s">
        <v>236</v>
      </c>
      <c r="E65">
        <v>1</v>
      </c>
    </row>
    <row r="66" spans="2:6" x14ac:dyDescent="0.35">
      <c r="F66" s="7" t="s">
        <v>293</v>
      </c>
    </row>
    <row r="68" spans="2:6" x14ac:dyDescent="0.35">
      <c r="B68" s="9" t="s">
        <v>294</v>
      </c>
      <c r="C68" s="8"/>
      <c r="D68" s="8"/>
      <c r="E68" s="8"/>
      <c r="F68" s="8"/>
    </row>
    <row r="69" spans="2:6" x14ac:dyDescent="0.35">
      <c r="D69" t="s">
        <v>281</v>
      </c>
      <c r="E69" t="s">
        <v>282</v>
      </c>
      <c r="F69" t="s">
        <v>283</v>
      </c>
    </row>
    <row r="70" spans="2:6" x14ac:dyDescent="0.35">
      <c r="C70" t="s">
        <v>284</v>
      </c>
      <c r="D70" s="6" t="s">
        <v>236</v>
      </c>
      <c r="E70">
        <v>1</v>
      </c>
      <c r="F70" s="6" t="s">
        <v>236</v>
      </c>
    </row>
    <row r="71" spans="2:6" x14ac:dyDescent="0.35">
      <c r="C71" t="s">
        <v>285</v>
      </c>
      <c r="D71" s="6" t="s">
        <v>236</v>
      </c>
      <c r="E71">
        <v>1</v>
      </c>
      <c r="F71" s="6" t="s">
        <v>236</v>
      </c>
    </row>
    <row r="72" spans="2:6" x14ac:dyDescent="0.35">
      <c r="C72" t="s">
        <v>286</v>
      </c>
      <c r="D72" s="6">
        <v>0.3</v>
      </c>
      <c r="E72">
        <v>1</v>
      </c>
      <c r="F72" s="6">
        <v>0.3</v>
      </c>
    </row>
    <row r="73" spans="2:6" x14ac:dyDescent="0.35">
      <c r="C73" t="s">
        <v>295</v>
      </c>
      <c r="D73">
        <v>1</v>
      </c>
      <c r="E73">
        <v>1</v>
      </c>
      <c r="F73">
        <f>F72+D73*E73</f>
        <v>1.3</v>
      </c>
    </row>
    <row r="74" spans="2:6" x14ac:dyDescent="0.35">
      <c r="C74" t="s">
        <v>296</v>
      </c>
      <c r="D74">
        <v>0.06</v>
      </c>
      <c r="E74">
        <v>1</v>
      </c>
      <c r="F74">
        <f>F73+D74*E74</f>
        <v>1.36</v>
      </c>
    </row>
    <row r="75" spans="2:6" x14ac:dyDescent="0.35">
      <c r="C75" t="s">
        <v>297</v>
      </c>
      <c r="D75">
        <v>0.1</v>
      </c>
      <c r="E75">
        <v>1</v>
      </c>
      <c r="F75">
        <f>F74+D75*E75</f>
        <v>1.4600000000000002</v>
      </c>
    </row>
    <row r="76" spans="2:6" x14ac:dyDescent="0.35">
      <c r="C76" t="s">
        <v>298</v>
      </c>
      <c r="D76">
        <v>0.08</v>
      </c>
      <c r="E76">
        <v>1</v>
      </c>
      <c r="F76">
        <f>F75+D76*E76</f>
        <v>1.5400000000000003</v>
      </c>
    </row>
    <row r="77" spans="2:6" x14ac:dyDescent="0.35">
      <c r="C77" t="s">
        <v>299</v>
      </c>
      <c r="D77">
        <v>0.5</v>
      </c>
      <c r="E77">
        <v>1</v>
      </c>
      <c r="F77">
        <f>F76+D77*E77</f>
        <v>2.04</v>
      </c>
    </row>
    <row r="78" spans="2:6" x14ac:dyDescent="0.35">
      <c r="C78" t="s">
        <v>300</v>
      </c>
      <c r="D78" s="6" t="s">
        <v>236</v>
      </c>
      <c r="E78">
        <v>1</v>
      </c>
    </row>
    <row r="79" spans="2:6" x14ac:dyDescent="0.35">
      <c r="C79" t="s">
        <v>301</v>
      </c>
      <c r="D79" s="6" t="s">
        <v>236</v>
      </c>
      <c r="E79">
        <v>1</v>
      </c>
    </row>
    <row r="80" spans="2:6" x14ac:dyDescent="0.35">
      <c r="F80" s="7" t="s">
        <v>302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6"/>
  <sheetViews>
    <sheetView tabSelected="1" workbookViewId="0">
      <selection activeCell="A8" sqref="A8"/>
    </sheetView>
  </sheetViews>
  <sheetFormatPr baseColWidth="10" defaultColWidth="8.7265625" defaultRowHeight="14.5" x14ac:dyDescent="0.35"/>
  <cols>
    <col min="1" max="1" width="26" customWidth="1"/>
    <col min="2" max="2" width="38" customWidth="1"/>
    <col min="3" max="3" width="8.7265625" customWidth="1"/>
    <col min="4" max="4" width="30" customWidth="1"/>
    <col min="5" max="5" width="9.1796875" bestFit="1" customWidth="1"/>
    <col min="6" max="6" width="15.1796875" bestFit="1" customWidth="1"/>
    <col min="7" max="7" width="23.453125" bestFit="1" customWidth="1"/>
    <col min="8" max="8" width="13.81640625" bestFit="1" customWidth="1"/>
    <col min="9" max="9" width="20.08984375" bestFit="1" customWidth="1"/>
    <col min="10" max="10" width="28.81640625" bestFit="1" customWidth="1"/>
    <col min="11" max="11" width="26.08984375" bestFit="1" customWidth="1"/>
    <col min="12" max="12" width="28.54296875" bestFit="1" customWidth="1"/>
  </cols>
  <sheetData>
    <row r="1" spans="1:12" x14ac:dyDescent="0.35">
      <c r="A1" s="115" t="s">
        <v>303</v>
      </c>
      <c r="B1" s="115" t="s">
        <v>304</v>
      </c>
      <c r="C1" s="115" t="s">
        <v>305</v>
      </c>
      <c r="D1" s="115" t="s">
        <v>306</v>
      </c>
      <c r="E1" s="115" t="s">
        <v>307</v>
      </c>
      <c r="F1" s="115" t="s">
        <v>308</v>
      </c>
      <c r="G1" s="115" t="s">
        <v>309</v>
      </c>
      <c r="H1" s="115" t="s">
        <v>310</v>
      </c>
      <c r="I1" s="115" t="s">
        <v>311</v>
      </c>
      <c r="J1" s="115" t="s">
        <v>312</v>
      </c>
      <c r="K1" s="115" t="s">
        <v>313</v>
      </c>
      <c r="L1" s="115" t="s">
        <v>314</v>
      </c>
    </row>
    <row r="2" spans="1:12" x14ac:dyDescent="0.35">
      <c r="A2" t="s">
        <v>315</v>
      </c>
      <c r="B2" t="s">
        <v>7</v>
      </c>
      <c r="C2" t="s">
        <v>316</v>
      </c>
      <c r="D2" t="s">
        <v>317</v>
      </c>
      <c r="E2" s="116">
        <v>10</v>
      </c>
      <c r="F2" s="117">
        <f>'Vollzelle - 10µm(Cr2032) - For'!E10</f>
        <v>2.4899999999999999E-2</v>
      </c>
      <c r="G2" s="117">
        <f>'Vollzelle - 10µm(Cr2032) - For'!H10</f>
        <v>3.7600000000000001E-2</v>
      </c>
      <c r="H2" s="118">
        <f>'Material - Abmessungen'!$E$25</f>
        <v>6.2343067500000018</v>
      </c>
      <c r="I2" s="119">
        <f t="shared" ref="I2:I33" si="0">(G2-H2/1000)*0.96</f>
        <v>3.0111065519999997E-2</v>
      </c>
      <c r="J2" s="16">
        <f>'Vollzelle - 10µm(Cr2032) - For'!N10</f>
        <v>5.1619000000000002</v>
      </c>
      <c r="K2" s="16">
        <f t="shared" ref="K2:K33" si="1">J2/I2</f>
        <v>171.42867284359059</v>
      </c>
      <c r="L2" s="16">
        <f>'Vollzelle - 10µm(Cr2032) - For'!K10</f>
        <v>5.5705471211999997</v>
      </c>
    </row>
    <row r="3" spans="1:12" x14ac:dyDescent="0.35">
      <c r="A3" t="s">
        <v>315</v>
      </c>
      <c r="B3" t="s">
        <v>16</v>
      </c>
      <c r="C3" t="s">
        <v>316</v>
      </c>
      <c r="D3" t="s">
        <v>317</v>
      </c>
      <c r="E3" s="116">
        <v>11</v>
      </c>
      <c r="F3" s="117">
        <f>'Vollzelle - 10µm(Cr2032) - For'!E11</f>
        <v>2.4899999999999999E-2</v>
      </c>
      <c r="G3" s="117">
        <f>'Vollzelle - 10µm(Cr2032) - For'!H11</f>
        <v>3.6799999999999999E-2</v>
      </c>
      <c r="H3" s="118">
        <f>'Material - Abmessungen'!$E$25</f>
        <v>6.2343067500000018</v>
      </c>
      <c r="I3" s="119">
        <f t="shared" si="0"/>
        <v>2.9343065519999996E-2</v>
      </c>
      <c r="J3" s="16">
        <f>'Vollzelle - 10µm(Cr2032) - For'!N11</f>
        <v>4.9852999999999996</v>
      </c>
      <c r="K3" s="16">
        <f t="shared" si="1"/>
        <v>169.89704080516262</v>
      </c>
      <c r="L3" s="16">
        <f>'Vollzelle - 10µm(Cr2032) - For'!K11</f>
        <v>5.4284671211999989</v>
      </c>
    </row>
    <row r="4" spans="1:12" x14ac:dyDescent="0.35">
      <c r="A4" t="s">
        <v>315</v>
      </c>
      <c r="B4" t="s">
        <v>19</v>
      </c>
      <c r="C4" t="s">
        <v>316</v>
      </c>
      <c r="D4" t="s">
        <v>317</v>
      </c>
      <c r="E4" s="116">
        <v>12</v>
      </c>
      <c r="F4" s="117">
        <f>'Vollzelle - 10µm(Cr2032) - For'!E12</f>
        <v>2.52E-2</v>
      </c>
      <c r="G4" s="117">
        <f>'Vollzelle - 10µm(Cr2032) - For'!H12</f>
        <v>3.7400000000000003E-2</v>
      </c>
      <c r="H4" s="118">
        <f>'Material - Abmessungen'!$E$25</f>
        <v>6.2343067500000018</v>
      </c>
      <c r="I4" s="119">
        <f t="shared" si="0"/>
        <v>2.991906552E-2</v>
      </c>
      <c r="J4" s="16">
        <f>'Vollzelle - 10µm(Cr2032) - For'!N12</f>
        <v>5.1486000000000001</v>
      </c>
      <c r="K4" s="16">
        <f t="shared" si="1"/>
        <v>172.0842516474425</v>
      </c>
      <c r="L4" s="16">
        <f>'Vollzelle - 10µm(Cr2032) - For'!K12</f>
        <v>5.5350271212000006</v>
      </c>
    </row>
    <row r="5" spans="1:12" x14ac:dyDescent="0.35">
      <c r="A5" t="s">
        <v>315</v>
      </c>
      <c r="B5" t="s">
        <v>22</v>
      </c>
      <c r="C5" t="s">
        <v>316</v>
      </c>
      <c r="D5" t="s">
        <v>317</v>
      </c>
      <c r="E5" s="116">
        <v>13</v>
      </c>
      <c r="F5" s="117">
        <f>'Vollzelle - 10µm(Cr2032) - For'!E13</f>
        <v>2.52E-2</v>
      </c>
      <c r="G5" s="117">
        <f>'Vollzelle - 10µm(Cr2032) - For'!H13</f>
        <v>3.7400000000000003E-2</v>
      </c>
      <c r="H5" s="118">
        <f>'Material - Abmessungen'!$E$25</f>
        <v>6.2343067500000018</v>
      </c>
      <c r="I5" s="119">
        <f t="shared" si="0"/>
        <v>2.991906552E-2</v>
      </c>
      <c r="J5" s="16">
        <f>'Vollzelle - 10µm(Cr2032) - For'!N13</f>
        <v>5.1426999999999996</v>
      </c>
      <c r="K5" s="16">
        <f t="shared" si="1"/>
        <v>171.88705297504225</v>
      </c>
      <c r="L5" s="16">
        <f>'Vollzelle - 10µm(Cr2032) - For'!K13</f>
        <v>5.5350271212000006</v>
      </c>
    </row>
    <row r="6" spans="1:12" x14ac:dyDescent="0.35">
      <c r="A6" t="s">
        <v>315</v>
      </c>
      <c r="B6" t="s">
        <v>25</v>
      </c>
      <c r="C6" t="s">
        <v>316</v>
      </c>
      <c r="D6" t="s">
        <v>317</v>
      </c>
      <c r="E6" s="116">
        <v>14</v>
      </c>
      <c r="F6" s="117">
        <f>'Vollzelle - 10µm(Cr2032) - For'!E14</f>
        <v>2.52E-2</v>
      </c>
      <c r="G6" s="117">
        <f>'Vollzelle - 10µm(Cr2032) - For'!H14</f>
        <v>3.6999999999999998E-2</v>
      </c>
      <c r="H6" s="118">
        <f>'Material - Abmessungen'!$E$25</f>
        <v>6.2343067500000018</v>
      </c>
      <c r="I6" s="119">
        <f t="shared" si="0"/>
        <v>2.9535065519999997E-2</v>
      </c>
      <c r="J6" s="16">
        <f>'Vollzelle - 10µm(Cr2032) - For'!N14</f>
        <v>5.0937999999999999</v>
      </c>
      <c r="K6" s="16">
        <f t="shared" si="1"/>
        <v>172.46618249587686</v>
      </c>
      <c r="L6" s="16">
        <f>'Vollzelle - 10µm(Cr2032) - For'!K14</f>
        <v>5.4639871211999997</v>
      </c>
    </row>
    <row r="7" spans="1:12" x14ac:dyDescent="0.35">
      <c r="A7" t="s">
        <v>315</v>
      </c>
      <c r="B7" t="s">
        <v>28</v>
      </c>
      <c r="C7" t="s">
        <v>316</v>
      </c>
      <c r="D7" t="s">
        <v>317</v>
      </c>
      <c r="E7" s="116">
        <v>15</v>
      </c>
      <c r="F7" s="117">
        <f>'Vollzelle - 10µm(Cr2032) - For'!E15</f>
        <v>2.5100000000000001E-2</v>
      </c>
      <c r="G7" s="117">
        <f>'Vollzelle - 10µm(Cr2032) - For'!H15</f>
        <v>3.7100000000000001E-2</v>
      </c>
      <c r="H7" s="118">
        <f>'Material - Abmessungen'!$E$25</f>
        <v>6.2343067500000018</v>
      </c>
      <c r="I7" s="119">
        <f t="shared" si="0"/>
        <v>2.9631065519999999E-2</v>
      </c>
      <c r="J7" s="16">
        <f>'Vollzelle - 10µm(Cr2032) - For'!N15</f>
        <v>5.0602</v>
      </c>
      <c r="K7" s="16">
        <f t="shared" si="1"/>
        <v>170.77347409543981</v>
      </c>
      <c r="L7" s="16">
        <f>'Vollzelle - 10µm(Cr2032) - For'!K15</f>
        <v>5.4817471211999997</v>
      </c>
    </row>
    <row r="8" spans="1:12" x14ac:dyDescent="0.35">
      <c r="A8" t="s">
        <v>318</v>
      </c>
      <c r="B8" t="s">
        <v>48</v>
      </c>
      <c r="C8" t="s">
        <v>316</v>
      </c>
      <c r="D8" t="s">
        <v>317</v>
      </c>
      <c r="E8" s="116">
        <v>35</v>
      </c>
      <c r="F8" s="117">
        <f>'Vollzelle - 10µm(Cr2032) - For'!E35</f>
        <v>2.52E-2</v>
      </c>
      <c r="G8" s="117">
        <f>'Vollzelle - 10µm(Cr2032) - For'!H35</f>
        <v>3.5799999999999998E-2</v>
      </c>
      <c r="H8" s="118">
        <f>'Material - Abmessungen'!$E$25</f>
        <v>6.2343067500000018</v>
      </c>
      <c r="I8" s="119">
        <f t="shared" si="0"/>
        <v>2.8383065519999997E-2</v>
      </c>
      <c r="J8" s="16">
        <f>'Vollzelle - 10µm(Cr2032) - For'!N35</f>
        <v>4.8296000000000001</v>
      </c>
      <c r="K8" s="16">
        <f t="shared" si="1"/>
        <v>170.15780048835262</v>
      </c>
      <c r="L8" s="16">
        <f>'Vollzelle - 10µm(Cr2032) - For'!K35</f>
        <v>5.2508671211999989</v>
      </c>
    </row>
    <row r="9" spans="1:12" x14ac:dyDescent="0.35">
      <c r="A9" t="s">
        <v>318</v>
      </c>
      <c r="B9" t="s">
        <v>50</v>
      </c>
      <c r="C9" t="s">
        <v>316</v>
      </c>
      <c r="D9" t="s">
        <v>317</v>
      </c>
      <c r="E9" s="116">
        <v>36</v>
      </c>
      <c r="F9" s="117">
        <f>'Vollzelle - 10µm(Cr2032) - For'!E36</f>
        <v>2.5000000000000001E-2</v>
      </c>
      <c r="G9" s="117">
        <f>'Vollzelle - 10µm(Cr2032) - For'!H36</f>
        <v>3.6400000000000002E-2</v>
      </c>
      <c r="H9" s="118">
        <f>'Material - Abmessungen'!$E$25</f>
        <v>6.2343067500000018</v>
      </c>
      <c r="I9" s="119">
        <f t="shared" si="0"/>
        <v>2.8959065520000001E-2</v>
      </c>
      <c r="J9" s="16">
        <f>'Vollzelle - 10µm(Cr2032) - For'!N36</f>
        <v>5.0679999999999996</v>
      </c>
      <c r="K9" s="16">
        <f t="shared" si="1"/>
        <v>175.00564707448473</v>
      </c>
      <c r="L9" s="16">
        <f>'Vollzelle - 10µm(Cr2032) - For'!K36</f>
        <v>5.3574271211999989</v>
      </c>
    </row>
    <row r="10" spans="1:12" x14ac:dyDescent="0.35">
      <c r="A10" t="s">
        <v>318</v>
      </c>
      <c r="B10" t="s">
        <v>51</v>
      </c>
      <c r="C10" t="s">
        <v>316</v>
      </c>
      <c r="D10" t="s">
        <v>317</v>
      </c>
      <c r="E10" s="116">
        <v>37</v>
      </c>
      <c r="F10" s="117">
        <f>'Vollzelle - 10µm(Cr2032) - For'!E37</f>
        <v>2.4899999999999999E-2</v>
      </c>
      <c r="G10" s="117">
        <f>'Vollzelle - 10µm(Cr2032) - For'!H37</f>
        <v>3.6400000000000002E-2</v>
      </c>
      <c r="H10" s="118">
        <f>'Material - Abmessungen'!$E$25</f>
        <v>6.2343067500000018</v>
      </c>
      <c r="I10" s="119">
        <f t="shared" si="0"/>
        <v>2.8959065520000001E-2</v>
      </c>
      <c r="J10" s="16">
        <f>'Vollzelle - 10µm(Cr2032) - For'!N37</f>
        <v>5.0819000000000001</v>
      </c>
      <c r="K10" s="16">
        <f t="shared" si="1"/>
        <v>175.48563493840254</v>
      </c>
      <c r="L10" s="16">
        <f>'Vollzelle - 10µm(Cr2032) - For'!K37</f>
        <v>5.3574271211999989</v>
      </c>
    </row>
    <row r="11" spans="1:12" x14ac:dyDescent="0.35">
      <c r="A11" t="s">
        <v>318</v>
      </c>
      <c r="B11" t="s">
        <v>52</v>
      </c>
      <c r="C11" t="s">
        <v>316</v>
      </c>
      <c r="D11" t="s">
        <v>317</v>
      </c>
      <c r="E11" s="116">
        <v>38</v>
      </c>
      <c r="F11" s="117">
        <f>'Vollzelle - 10µm(Cr2032) - For'!E38</f>
        <v>2.4899999999999999E-2</v>
      </c>
      <c r="G11" s="117">
        <f>'Vollzelle - 10µm(Cr2032) - For'!H38</f>
        <v>3.6400000000000002E-2</v>
      </c>
      <c r="H11" s="118">
        <f>'Material - Abmessungen'!$E$25</f>
        <v>6.2343067500000018</v>
      </c>
      <c r="I11" s="119">
        <f t="shared" si="0"/>
        <v>2.8959065520000001E-2</v>
      </c>
      <c r="J11" s="16">
        <f>'Vollzelle - 10µm(Cr2032) - For'!N38</f>
        <v>5.1615000000000002</v>
      </c>
      <c r="K11" s="16">
        <f t="shared" si="1"/>
        <v>178.23434241810438</v>
      </c>
      <c r="L11" s="16">
        <f>'Vollzelle - 10µm(Cr2032) - For'!K38</f>
        <v>5.3574271211999989</v>
      </c>
    </row>
    <row r="12" spans="1:12" x14ac:dyDescent="0.35">
      <c r="A12" t="s">
        <v>319</v>
      </c>
      <c r="B12" t="s">
        <v>54</v>
      </c>
      <c r="C12" t="s">
        <v>316</v>
      </c>
      <c r="D12" t="s">
        <v>317</v>
      </c>
      <c r="E12" s="116">
        <v>58</v>
      </c>
      <c r="F12" s="117">
        <f>'Vollzelle - 10µm(Cr2032) - For'!E58</f>
        <v>2.5100000000000001E-2</v>
      </c>
      <c r="G12" s="117">
        <f>'Vollzelle - 10µm(Cr2032) - For'!H58</f>
        <v>3.6700000000000003E-2</v>
      </c>
      <c r="H12" s="118">
        <f>'Material - Abmessungen'!$E$25</f>
        <v>6.2343067500000018</v>
      </c>
      <c r="I12" s="119">
        <f t="shared" si="0"/>
        <v>2.9247065520000001E-2</v>
      </c>
      <c r="J12" s="16">
        <f>'Vollzelle - 10µm(Cr2032) - For'!N58</f>
        <v>5.2710999999999997</v>
      </c>
      <c r="K12" s="16">
        <f t="shared" si="1"/>
        <v>180.2266280832676</v>
      </c>
      <c r="L12" s="16">
        <f>'Vollzelle - 10µm(Cr2032) - For'!K58</f>
        <v>5.4107071212000006</v>
      </c>
    </row>
    <row r="13" spans="1:12" x14ac:dyDescent="0.35">
      <c r="A13" t="s">
        <v>319</v>
      </c>
      <c r="B13" t="s">
        <v>55</v>
      </c>
      <c r="C13" t="s">
        <v>316</v>
      </c>
      <c r="D13" t="s">
        <v>317</v>
      </c>
      <c r="E13" s="116">
        <v>59</v>
      </c>
      <c r="F13" s="117">
        <f>'Vollzelle - 10µm(Cr2032) - For'!E59</f>
        <v>2.4799999999999999E-2</v>
      </c>
      <c r="G13" s="117">
        <f>'Vollzelle - 10µm(Cr2032) - For'!H59</f>
        <v>3.7499999999999999E-2</v>
      </c>
      <c r="H13" s="118">
        <f>'Material - Abmessungen'!$E$25</f>
        <v>6.2343067500000018</v>
      </c>
      <c r="I13" s="119">
        <f t="shared" si="0"/>
        <v>3.0015065519999995E-2</v>
      </c>
      <c r="J13" s="16">
        <f>'Vollzelle - 10µm(Cr2032) - For'!N59</f>
        <v>5.3520000000000003</v>
      </c>
      <c r="K13" s="16">
        <f t="shared" si="1"/>
        <v>178.31045534229443</v>
      </c>
      <c r="L13" s="16">
        <f>'Vollzelle - 10µm(Cr2032) - For'!K59</f>
        <v>5.5527871211999988</v>
      </c>
    </row>
    <row r="14" spans="1:12" x14ac:dyDescent="0.35">
      <c r="A14" t="s">
        <v>319</v>
      </c>
      <c r="B14" t="s">
        <v>56</v>
      </c>
      <c r="C14" t="s">
        <v>316</v>
      </c>
      <c r="D14" t="s">
        <v>317</v>
      </c>
      <c r="E14" s="116">
        <v>60</v>
      </c>
      <c r="F14" s="117">
        <f>'Vollzelle - 10µm(Cr2032) - For'!E60</f>
        <v>2.5100000000000001E-2</v>
      </c>
      <c r="G14" s="117">
        <f>'Vollzelle - 10µm(Cr2032) - For'!H60</f>
        <v>3.7600000000000001E-2</v>
      </c>
      <c r="H14" s="118">
        <f>'Material - Abmessungen'!$E$25</f>
        <v>6.2343067500000018</v>
      </c>
      <c r="I14" s="119">
        <f t="shared" si="0"/>
        <v>3.0111065519999997E-2</v>
      </c>
      <c r="J14" s="16">
        <f>'Vollzelle - 10µm(Cr2032) - For'!N60</f>
        <v>5.3522999999999996</v>
      </c>
      <c r="K14" s="16">
        <f t="shared" si="1"/>
        <v>177.75192965008034</v>
      </c>
      <c r="L14" s="16">
        <f>'Vollzelle - 10µm(Cr2032) - For'!K60</f>
        <v>5.5705471211999997</v>
      </c>
    </row>
    <row r="15" spans="1:12" x14ac:dyDescent="0.35">
      <c r="A15" t="s">
        <v>319</v>
      </c>
      <c r="B15" t="s">
        <v>57</v>
      </c>
      <c r="C15" t="s">
        <v>316</v>
      </c>
      <c r="D15" t="s">
        <v>317</v>
      </c>
      <c r="E15" s="116">
        <v>61</v>
      </c>
      <c r="F15" s="117">
        <f>'Vollzelle - 10µm(Cr2032) - For'!E61</f>
        <v>2.4899999999999999E-2</v>
      </c>
      <c r="G15" s="117">
        <f>'Vollzelle - 10µm(Cr2032) - For'!H61</f>
        <v>3.6799999999999999E-2</v>
      </c>
      <c r="H15" s="118">
        <f>'Material - Abmessungen'!$E$25</f>
        <v>6.2343067500000018</v>
      </c>
      <c r="I15" s="119">
        <f t="shared" si="0"/>
        <v>2.9343065519999996E-2</v>
      </c>
      <c r="J15" s="16">
        <f>'Vollzelle - 10µm(Cr2032) - For'!N61</f>
        <v>5.0218999999999996</v>
      </c>
      <c r="K15" s="16">
        <f t="shared" si="1"/>
        <v>171.14435424537061</v>
      </c>
      <c r="L15" s="16">
        <f>'Vollzelle - 10µm(Cr2032) - For'!K61</f>
        <v>5.4284671211999989</v>
      </c>
    </row>
    <row r="16" spans="1:12" x14ac:dyDescent="0.35">
      <c r="A16" t="s">
        <v>320</v>
      </c>
      <c r="B16" t="s">
        <v>59</v>
      </c>
      <c r="C16" t="s">
        <v>316</v>
      </c>
      <c r="D16" t="s">
        <v>317</v>
      </c>
      <c r="E16" s="116">
        <v>81</v>
      </c>
      <c r="F16" s="117">
        <f>'Vollzelle - 10µm(Cr2032) - For'!E81</f>
        <v>2.53E-2</v>
      </c>
      <c r="G16" s="117">
        <f>'Vollzelle - 10µm(Cr2032) - For'!H81</f>
        <v>3.6200000000000003E-2</v>
      </c>
      <c r="H16" s="118">
        <f>'Material - Abmessungen'!$E$25</f>
        <v>6.2343067500000018</v>
      </c>
      <c r="I16" s="119">
        <f t="shared" si="0"/>
        <v>2.8767065519999999E-2</v>
      </c>
      <c r="J16" s="16">
        <f>'Vollzelle - 10µm(Cr2032) - For'!N81</f>
        <v>5.0625</v>
      </c>
      <c r="K16" s="16">
        <f t="shared" si="1"/>
        <v>175.98249625010763</v>
      </c>
      <c r="L16" s="16">
        <f>'Vollzelle - 10µm(Cr2032) - For'!K81</f>
        <v>5.3219071211999998</v>
      </c>
    </row>
    <row r="17" spans="1:12" x14ac:dyDescent="0.35">
      <c r="A17" t="s">
        <v>320</v>
      </c>
      <c r="B17" t="s">
        <v>60</v>
      </c>
      <c r="C17" t="s">
        <v>316</v>
      </c>
      <c r="D17" t="s">
        <v>317</v>
      </c>
      <c r="E17" s="116">
        <v>82</v>
      </c>
      <c r="F17" s="117">
        <f>'Vollzelle - 10µm(Cr2032) - For'!E82</f>
        <v>2.5100000000000001E-2</v>
      </c>
      <c r="G17" s="117">
        <f>'Vollzelle - 10µm(Cr2032) - For'!H82</f>
        <v>3.5700000000000003E-2</v>
      </c>
      <c r="H17" s="118">
        <f>'Material - Abmessungen'!$E$25</f>
        <v>6.2343067500000018</v>
      </c>
      <c r="I17" s="119">
        <f t="shared" si="0"/>
        <v>2.8287065520000002E-2</v>
      </c>
      <c r="J17" s="16">
        <f>'Vollzelle - 10µm(Cr2032) - For'!N82</f>
        <v>4.9025999999999996</v>
      </c>
      <c r="K17" s="16">
        <f t="shared" si="1"/>
        <v>173.31596296313168</v>
      </c>
      <c r="L17" s="16">
        <f>'Vollzelle - 10µm(Cr2032) - For'!K82</f>
        <v>5.2331071211999998</v>
      </c>
    </row>
    <row r="18" spans="1:12" x14ac:dyDescent="0.35">
      <c r="A18" t="s">
        <v>320</v>
      </c>
      <c r="B18" t="s">
        <v>61</v>
      </c>
      <c r="C18" t="s">
        <v>316</v>
      </c>
      <c r="D18" t="s">
        <v>317</v>
      </c>
      <c r="E18" s="116">
        <v>83</v>
      </c>
      <c r="F18" s="117">
        <f>'Vollzelle - 10µm(Cr2032) - For'!E83</f>
        <v>2.4899999999999999E-2</v>
      </c>
      <c r="G18" s="117">
        <f>'Vollzelle - 10µm(Cr2032) - For'!H83</f>
        <v>3.5999999999999997E-2</v>
      </c>
      <c r="H18" s="118">
        <f>'Material - Abmessungen'!$E$25</f>
        <v>6.2343067500000018</v>
      </c>
      <c r="I18" s="119">
        <f t="shared" si="0"/>
        <v>2.8575065519999995E-2</v>
      </c>
      <c r="J18" s="16">
        <f>'Vollzelle - 10µm(Cr2032) - For'!N83</f>
        <v>4.9253999999999998</v>
      </c>
      <c r="K18" s="16">
        <f t="shared" si="1"/>
        <v>172.367058845505</v>
      </c>
      <c r="L18" s="16">
        <f>'Vollzelle - 10µm(Cr2032) - For'!K83</f>
        <v>5.2863871211999989</v>
      </c>
    </row>
    <row r="19" spans="1:12" x14ac:dyDescent="0.35">
      <c r="A19" t="s">
        <v>320</v>
      </c>
      <c r="B19" t="s">
        <v>62</v>
      </c>
      <c r="C19" t="s">
        <v>316</v>
      </c>
      <c r="D19" t="s">
        <v>317</v>
      </c>
      <c r="E19" s="116">
        <v>84</v>
      </c>
      <c r="F19" s="117">
        <f>'Vollzelle - 10µm(Cr2032) - For'!E84</f>
        <v>2.47E-2</v>
      </c>
      <c r="G19" s="117">
        <f>'Vollzelle - 10µm(Cr2032) - For'!H84</f>
        <v>3.5900000000000001E-2</v>
      </c>
      <c r="H19" s="118">
        <f>'Material - Abmessungen'!$E$25</f>
        <v>6.2343067500000018</v>
      </c>
      <c r="I19" s="119">
        <f t="shared" si="0"/>
        <v>2.8479065519999999E-2</v>
      </c>
      <c r="J19" s="16">
        <f>'Vollzelle - 10µm(Cr2032) - For'!N84</f>
        <v>5.0248999999999997</v>
      </c>
      <c r="K19" s="16">
        <f t="shared" si="1"/>
        <v>176.44188488105982</v>
      </c>
      <c r="L19" s="16">
        <f>'Vollzelle - 10µm(Cr2032) - For'!K84</f>
        <v>5.2686271211999989</v>
      </c>
    </row>
    <row r="20" spans="1:12" x14ac:dyDescent="0.35">
      <c r="A20" t="s">
        <v>320</v>
      </c>
      <c r="B20" t="s">
        <v>63</v>
      </c>
      <c r="C20" t="s">
        <v>316</v>
      </c>
      <c r="D20" t="s">
        <v>317</v>
      </c>
      <c r="E20" s="116">
        <v>85</v>
      </c>
      <c r="F20" s="117">
        <f>'Vollzelle - 10µm(Cr2032) - For'!E85</f>
        <v>2.52E-2</v>
      </c>
      <c r="G20" s="117">
        <f>'Vollzelle - 10µm(Cr2032) - For'!H85</f>
        <v>3.5999999999999997E-2</v>
      </c>
      <c r="H20" s="118">
        <f>'Material - Abmessungen'!$E$25</f>
        <v>6.2343067500000018</v>
      </c>
      <c r="I20" s="119">
        <f t="shared" si="0"/>
        <v>2.8575065519999995E-2</v>
      </c>
      <c r="J20" s="16">
        <f>'Vollzelle - 10µm(Cr2032) - For'!N85</f>
        <v>5.0323000000000002</v>
      </c>
      <c r="K20" s="16">
        <f t="shared" si="1"/>
        <v>176.10808263861512</v>
      </c>
      <c r="L20" s="16">
        <f>'Vollzelle - 10µm(Cr2032) - For'!K85</f>
        <v>5.2863871211999989</v>
      </c>
    </row>
    <row r="21" spans="1:12" x14ac:dyDescent="0.35">
      <c r="A21" t="s">
        <v>320</v>
      </c>
      <c r="B21" t="s">
        <v>64</v>
      </c>
      <c r="C21" t="s">
        <v>316</v>
      </c>
      <c r="D21" t="s">
        <v>317</v>
      </c>
      <c r="E21" s="116">
        <v>86</v>
      </c>
      <c r="F21" s="117">
        <f>'Vollzelle - 10µm(Cr2032) - For'!E86</f>
        <v>2.5000000000000001E-2</v>
      </c>
      <c r="G21" s="117">
        <f>'Vollzelle - 10µm(Cr2032) - For'!H86</f>
        <v>3.5999999999999997E-2</v>
      </c>
      <c r="H21" s="118">
        <f>'Material - Abmessungen'!$E$25</f>
        <v>6.2343067500000018</v>
      </c>
      <c r="I21" s="119">
        <f t="shared" si="0"/>
        <v>2.8575065519999995E-2</v>
      </c>
      <c r="J21" s="16">
        <f>'Vollzelle - 10µm(Cr2032) - For'!N86</f>
        <v>5.0857999999999999</v>
      </c>
      <c r="K21" s="16">
        <f t="shared" si="1"/>
        <v>177.98034431243539</v>
      </c>
      <c r="L21" s="16">
        <f>'Vollzelle - 10µm(Cr2032) - For'!K86</f>
        <v>5.2863871211999989</v>
      </c>
    </row>
    <row r="22" spans="1:12" x14ac:dyDescent="0.35">
      <c r="A22" t="s">
        <v>321</v>
      </c>
      <c r="B22" t="s">
        <v>67</v>
      </c>
      <c r="C22" t="s">
        <v>322</v>
      </c>
      <c r="D22" t="s">
        <v>323</v>
      </c>
      <c r="E22" s="116">
        <v>10</v>
      </c>
      <c r="F22" s="117">
        <f>'Vollzelle - Pouchzelle (10µm)'!E10</f>
        <v>0.16370000000000001</v>
      </c>
      <c r="G22" s="117">
        <f>'Vollzelle - Pouchzelle (10µm)'!H10</f>
        <v>0.19989999999999999</v>
      </c>
      <c r="H22" s="118">
        <f>'Material - Abmessungen'!$E$33</f>
        <v>33.246830699999997</v>
      </c>
      <c r="I22" s="119">
        <f t="shared" si="0"/>
        <v>0.159987042528</v>
      </c>
      <c r="J22" s="16">
        <f>'Vollzelle - Pouchzelle (10µm)'!N10</f>
        <v>28.542000000000002</v>
      </c>
      <c r="K22" s="16">
        <f t="shared" si="1"/>
        <v>178.40194773901609</v>
      </c>
      <c r="L22" s="16">
        <f>'Vollzelle - Pouchzelle (10µm)'!K10</f>
        <v>30.397538080319997</v>
      </c>
    </row>
    <row r="23" spans="1:12" x14ac:dyDescent="0.35">
      <c r="A23" t="s">
        <v>321</v>
      </c>
      <c r="B23" t="s">
        <v>68</v>
      </c>
      <c r="C23" t="s">
        <v>322</v>
      </c>
      <c r="D23" t="s">
        <v>323</v>
      </c>
      <c r="E23" s="116">
        <v>11</v>
      </c>
      <c r="F23" s="117">
        <f>'Vollzelle - Pouchzelle (10µm)'!E11</f>
        <v>0.16020000000000001</v>
      </c>
      <c r="G23" s="117">
        <f>'Vollzelle - Pouchzelle (10µm)'!H11</f>
        <v>0.19939999999999999</v>
      </c>
      <c r="H23" s="118">
        <f>'Material - Abmessungen'!$E$33</f>
        <v>33.246830699999997</v>
      </c>
      <c r="I23" s="119">
        <f t="shared" si="0"/>
        <v>0.15950704252800002</v>
      </c>
      <c r="J23" s="16">
        <f>'Vollzelle - Pouchzelle (10µm)'!N11</f>
        <v>28.379000000000001</v>
      </c>
      <c r="K23" s="16">
        <f t="shared" si="1"/>
        <v>177.91690918611525</v>
      </c>
      <c r="L23" s="16">
        <f>'Vollzelle - Pouchzelle (10µm)'!K11</f>
        <v>30.30633808032</v>
      </c>
    </row>
    <row r="24" spans="1:12" x14ac:dyDescent="0.35">
      <c r="A24" t="s">
        <v>321</v>
      </c>
      <c r="B24" t="s">
        <v>69</v>
      </c>
      <c r="C24" t="s">
        <v>322</v>
      </c>
      <c r="D24" t="s">
        <v>323</v>
      </c>
      <c r="E24" s="116">
        <v>12</v>
      </c>
      <c r="F24" s="117">
        <f>'Vollzelle - Pouchzelle (10µm)'!E12</f>
        <v>0.1608</v>
      </c>
      <c r="G24" s="117">
        <f>'Vollzelle - Pouchzelle (10µm)'!H12</f>
        <v>0.19989999999999999</v>
      </c>
      <c r="H24" s="118">
        <f>'Material - Abmessungen'!$E$33</f>
        <v>33.246830699999997</v>
      </c>
      <c r="I24" s="119">
        <f t="shared" si="0"/>
        <v>0.159987042528</v>
      </c>
      <c r="J24" s="16">
        <f>'Vollzelle - Pouchzelle (10µm)'!N12</f>
        <v>28.529</v>
      </c>
      <c r="K24" s="16">
        <f t="shared" si="1"/>
        <v>178.32069115851692</v>
      </c>
      <c r="L24" s="16">
        <f>'Vollzelle - Pouchzelle (10µm)'!K12</f>
        <v>30.397538080319997</v>
      </c>
    </row>
    <row r="25" spans="1:12" x14ac:dyDescent="0.35">
      <c r="A25" t="s">
        <v>324</v>
      </c>
      <c r="B25" t="s">
        <v>71</v>
      </c>
      <c r="C25" t="s">
        <v>322</v>
      </c>
      <c r="D25" t="s">
        <v>323</v>
      </c>
      <c r="E25" s="116">
        <v>32</v>
      </c>
      <c r="F25" s="117">
        <f>'Vollzelle - Pouchzelle (10µm)'!E32</f>
        <v>0.15870000000000001</v>
      </c>
      <c r="G25" s="117">
        <f>'Vollzelle - Pouchzelle (10µm)'!H32</f>
        <v>0.1993</v>
      </c>
      <c r="H25" s="118">
        <f>'Material - Abmessungen'!$E$33</f>
        <v>33.246830699999997</v>
      </c>
      <c r="I25" s="119">
        <f t="shared" si="0"/>
        <v>0.15941104252800001</v>
      </c>
      <c r="J25" s="16">
        <f>'Vollzelle - Pouchzelle (10µm)'!N32</f>
        <v>29.097999999999999</v>
      </c>
      <c r="K25" s="16">
        <f t="shared" si="1"/>
        <v>182.53440626541936</v>
      </c>
      <c r="L25" s="16">
        <f>'Vollzelle - Pouchzelle (10µm)'!K32</f>
        <v>30.288098080320001</v>
      </c>
    </row>
    <row r="26" spans="1:12" x14ac:dyDescent="0.35">
      <c r="A26" t="s">
        <v>324</v>
      </c>
      <c r="B26" t="s">
        <v>72</v>
      </c>
      <c r="C26" t="s">
        <v>322</v>
      </c>
      <c r="D26" t="s">
        <v>323</v>
      </c>
      <c r="E26" s="116">
        <v>33</v>
      </c>
      <c r="F26" s="117">
        <f>'Vollzelle - Pouchzelle (10µm)'!E33</f>
        <v>0.16020000000000001</v>
      </c>
      <c r="G26" s="117">
        <f>'Vollzelle - Pouchzelle (10µm)'!H33</f>
        <v>0.1996</v>
      </c>
      <c r="H26" s="118">
        <f>'Material - Abmessungen'!$E$33</f>
        <v>33.246830699999997</v>
      </c>
      <c r="I26" s="119">
        <f t="shared" si="0"/>
        <v>0.15969904252799999</v>
      </c>
      <c r="J26" s="16">
        <f>'Vollzelle - Pouchzelle (10µm)'!N33</f>
        <v>29.402999999999999</v>
      </c>
      <c r="K26" s="16">
        <f t="shared" si="1"/>
        <v>184.11506753301154</v>
      </c>
      <c r="L26" s="16">
        <f>'Vollzelle - Pouchzelle (10µm)'!K33</f>
        <v>30.342818080319997</v>
      </c>
    </row>
    <row r="27" spans="1:12" x14ac:dyDescent="0.35">
      <c r="A27" t="s">
        <v>325</v>
      </c>
      <c r="B27" t="s">
        <v>74</v>
      </c>
      <c r="C27" t="s">
        <v>322</v>
      </c>
      <c r="D27" t="s">
        <v>323</v>
      </c>
      <c r="E27" s="116">
        <v>52</v>
      </c>
      <c r="F27" s="117">
        <f>'Vollzelle - Pouchzelle (10µm)'!E52</f>
        <v>0.1585</v>
      </c>
      <c r="G27" s="117">
        <f>'Vollzelle - Pouchzelle (10µm)'!H52</f>
        <v>0.19700000000000001</v>
      </c>
      <c r="H27" s="118">
        <f>'Material - Abmessungen'!$E$33</f>
        <v>33.246830699999997</v>
      </c>
      <c r="I27" s="119">
        <f t="shared" si="0"/>
        <v>0.15720304252799999</v>
      </c>
      <c r="J27" s="16">
        <f>'Vollzelle - Pouchzelle (10µm)'!N52</f>
        <v>32.116999999999997</v>
      </c>
      <c r="K27" s="16">
        <f t="shared" si="1"/>
        <v>204.3026615994377</v>
      </c>
      <c r="L27" s="16">
        <f>'Vollzelle - Pouchzelle (10µm)'!K52</f>
        <v>29.868578080319999</v>
      </c>
    </row>
    <row r="28" spans="1:12" x14ac:dyDescent="0.35">
      <c r="A28" t="s">
        <v>325</v>
      </c>
      <c r="B28" t="s">
        <v>75</v>
      </c>
      <c r="C28" t="s">
        <v>322</v>
      </c>
      <c r="D28" t="s">
        <v>323</v>
      </c>
      <c r="E28" s="116">
        <v>53</v>
      </c>
      <c r="F28" s="117">
        <f>'Vollzelle - Pouchzelle (10µm)'!E53</f>
        <v>0.1641</v>
      </c>
      <c r="G28" s="117">
        <f>'Vollzelle - Pouchzelle (10µm)'!H53</f>
        <v>0.1993</v>
      </c>
      <c r="H28" s="118">
        <f>'Material - Abmessungen'!$E$33</f>
        <v>33.246830699999997</v>
      </c>
      <c r="I28" s="119">
        <f t="shared" si="0"/>
        <v>0.15941104252800001</v>
      </c>
      <c r="J28" s="16">
        <f>'Vollzelle - Pouchzelle (10µm)'!N53</f>
        <v>32.406999999999996</v>
      </c>
      <c r="K28" s="16">
        <f t="shared" si="1"/>
        <v>203.29206487880421</v>
      </c>
      <c r="L28" s="16">
        <f>'Vollzelle - Pouchzelle (10µm)'!K53</f>
        <v>30.288098080320001</v>
      </c>
    </row>
    <row r="29" spans="1:12" x14ac:dyDescent="0.35">
      <c r="A29" t="s">
        <v>326</v>
      </c>
      <c r="B29" t="s">
        <v>77</v>
      </c>
      <c r="C29" t="s">
        <v>322</v>
      </c>
      <c r="D29" t="s">
        <v>323</v>
      </c>
      <c r="E29" s="116">
        <v>72</v>
      </c>
      <c r="F29" s="117">
        <f>'Vollzelle - Pouchzelle (10µm)'!E72</f>
        <v>0.15970000000000001</v>
      </c>
      <c r="G29" s="117">
        <f>'Vollzelle - Pouchzelle (10µm)'!H72</f>
        <v>0.19850000000000001</v>
      </c>
      <c r="H29" s="118">
        <f>'Material - Abmessungen'!$E$33</f>
        <v>33.246830699999997</v>
      </c>
      <c r="I29" s="119">
        <f t="shared" si="0"/>
        <v>0.15864304252799999</v>
      </c>
      <c r="J29" s="16">
        <f>'Vollzelle - Pouchzelle (10µm)'!N72</f>
        <v>32.371000000000002</v>
      </c>
      <c r="K29" s="16">
        <f t="shared" si="1"/>
        <v>204.04928879428559</v>
      </c>
      <c r="L29" s="16">
        <f>'Vollzelle - Pouchzelle (10µm)'!K72</f>
        <v>30.142178080320001</v>
      </c>
    </row>
    <row r="30" spans="1:12" x14ac:dyDescent="0.35">
      <c r="A30" t="s">
        <v>326</v>
      </c>
      <c r="B30" t="s">
        <v>78</v>
      </c>
      <c r="C30" t="s">
        <v>322</v>
      </c>
      <c r="D30" t="s">
        <v>323</v>
      </c>
      <c r="E30" s="116">
        <v>73</v>
      </c>
      <c r="F30" s="117">
        <f>'Vollzelle - Pouchzelle (10µm)'!E73</f>
        <v>0.15809999999999999</v>
      </c>
      <c r="G30" s="117">
        <f>'Vollzelle - Pouchzelle (10µm)'!H73</f>
        <v>0.1971</v>
      </c>
      <c r="H30" s="118">
        <f>'Material - Abmessungen'!$E$33</f>
        <v>33.246830699999997</v>
      </c>
      <c r="I30" s="119">
        <f t="shared" si="0"/>
        <v>0.15729904252799998</v>
      </c>
      <c r="J30" s="16">
        <f>'Vollzelle - Pouchzelle (10µm)'!N73</f>
        <v>31.899000000000001</v>
      </c>
      <c r="K30" s="16">
        <f t="shared" si="1"/>
        <v>202.79207989662001</v>
      </c>
      <c r="L30" s="16">
        <f>'Vollzelle - Pouchzelle (10µm)'!K73</f>
        <v>29.886818080319998</v>
      </c>
    </row>
    <row r="31" spans="1:12" x14ac:dyDescent="0.35">
      <c r="A31" t="s">
        <v>327</v>
      </c>
      <c r="B31" t="s">
        <v>80</v>
      </c>
      <c r="C31" t="s">
        <v>322</v>
      </c>
      <c r="D31" t="s">
        <v>323</v>
      </c>
      <c r="E31" s="116">
        <v>92</v>
      </c>
      <c r="F31" s="117">
        <f>'Vollzelle - Pouchzelle (10µm)'!E92</f>
        <v>0.1598</v>
      </c>
      <c r="G31" s="117">
        <f>'Vollzelle - Pouchzelle (10µm)'!H92</f>
        <v>0.1986</v>
      </c>
      <c r="H31" s="118">
        <f>'Material - Abmessungen'!$E$33</f>
        <v>33.246830699999997</v>
      </c>
      <c r="I31" s="119">
        <f t="shared" si="0"/>
        <v>0.15873904252799997</v>
      </c>
      <c r="J31" s="16">
        <f>'Vollzelle - Pouchzelle (10µm)'!N92</f>
        <v>31.423999999999999</v>
      </c>
      <c r="K31" s="16">
        <f t="shared" si="1"/>
        <v>197.96012058254112</v>
      </c>
      <c r="L31" s="16">
        <f>'Vollzelle - Pouchzelle (10µm)'!K92</f>
        <v>30.160418080319999</v>
      </c>
    </row>
    <row r="32" spans="1:12" x14ac:dyDescent="0.35">
      <c r="A32" t="s">
        <v>327</v>
      </c>
      <c r="B32" t="s">
        <v>81</v>
      </c>
      <c r="C32" t="s">
        <v>322</v>
      </c>
      <c r="D32" t="s">
        <v>323</v>
      </c>
      <c r="E32" s="116">
        <v>93</v>
      </c>
      <c r="F32" s="117">
        <f>'Vollzelle - Pouchzelle (10µm)'!E93</f>
        <v>0.1646</v>
      </c>
      <c r="G32" s="117">
        <f>'Vollzelle - Pouchzelle (10µm)'!H93</f>
        <v>0.19939999999999999</v>
      </c>
      <c r="H32" s="118">
        <f>'Material - Abmessungen'!$E$33</f>
        <v>33.246830699999997</v>
      </c>
      <c r="I32" s="119">
        <f t="shared" si="0"/>
        <v>0.15950704252800002</v>
      </c>
      <c r="J32" s="16">
        <f>'Vollzelle - Pouchzelle (10µm)'!N93</f>
        <v>32.505000000000003</v>
      </c>
      <c r="K32" s="16">
        <f t="shared" si="1"/>
        <v>203.78410560959429</v>
      </c>
      <c r="L32" s="16">
        <f>'Vollzelle - Pouchzelle (10µm)'!K93</f>
        <v>30.30633808032</v>
      </c>
    </row>
    <row r="33" spans="1:12" x14ac:dyDescent="0.35">
      <c r="A33" t="s">
        <v>328</v>
      </c>
      <c r="B33" t="s">
        <v>183</v>
      </c>
      <c r="C33" t="s">
        <v>316</v>
      </c>
      <c r="D33" t="s">
        <v>329</v>
      </c>
      <c r="E33" s="116">
        <v>10</v>
      </c>
      <c r="F33" s="117">
        <f>'Vollzelle - 5µm (CR2032) - For'!E10</f>
        <v>2.4899999999999999E-2</v>
      </c>
      <c r="G33" s="117">
        <f>'Vollzelle - 5µm (CR2032) - For'!H10</f>
        <v>3.5999999999999997E-2</v>
      </c>
      <c r="H33" s="118">
        <f>'Material - Abmessungen'!$E$25</f>
        <v>6.2343067500000018</v>
      </c>
      <c r="I33" s="119">
        <f t="shared" si="0"/>
        <v>2.8575065519999995E-2</v>
      </c>
      <c r="J33" s="16">
        <f>'Vollzelle - 5µm (CR2032) - For'!N10</f>
        <v>4.9509999999999996</v>
      </c>
      <c r="K33" s="16">
        <f t="shared" si="1"/>
        <v>173.26294480531433</v>
      </c>
      <c r="L33" s="16">
        <f>'Vollzelle - 5µm (CR2032) - For'!K10</f>
        <v>5.2863871211999989</v>
      </c>
    </row>
    <row r="34" spans="1:12" x14ac:dyDescent="0.35">
      <c r="A34" t="s">
        <v>328</v>
      </c>
      <c r="B34" t="s">
        <v>184</v>
      </c>
      <c r="C34" t="s">
        <v>316</v>
      </c>
      <c r="D34" t="s">
        <v>329</v>
      </c>
      <c r="E34" s="116">
        <v>11</v>
      </c>
      <c r="F34" s="117">
        <f>'Vollzelle - 5µm (CR2032) - For'!E11</f>
        <v>2.4799999999999999E-2</v>
      </c>
      <c r="G34" s="117">
        <f>'Vollzelle - 5µm (CR2032) - For'!H11</f>
        <v>3.5999999999999997E-2</v>
      </c>
      <c r="H34" s="118">
        <f>'Material - Abmessungen'!$E$25</f>
        <v>6.2343067500000018</v>
      </c>
      <c r="I34" s="119">
        <f t="shared" ref="I34:I65" si="2">(G34-H34/1000)*0.96</f>
        <v>2.8575065519999995E-2</v>
      </c>
      <c r="J34" s="16">
        <f>'Vollzelle - 5µm (CR2032) - For'!N11</f>
        <v>4.9236000000000004</v>
      </c>
      <c r="K34" s="16">
        <f t="shared" ref="K34:K65" si="3">J34/I34</f>
        <v>172.30406686395591</v>
      </c>
      <c r="L34" s="16">
        <f>'Vollzelle - 5µm (CR2032) - For'!K11</f>
        <v>5.2863871211999989</v>
      </c>
    </row>
    <row r="35" spans="1:12" x14ac:dyDescent="0.35">
      <c r="A35" t="s">
        <v>328</v>
      </c>
      <c r="B35" t="s">
        <v>185</v>
      </c>
      <c r="C35" t="s">
        <v>316</v>
      </c>
      <c r="D35" t="s">
        <v>329</v>
      </c>
      <c r="E35" s="116">
        <v>12</v>
      </c>
      <c r="F35" s="117">
        <f>'Vollzelle - 5µm (CR2032) - For'!E12</f>
        <v>2.4799999999999999E-2</v>
      </c>
      <c r="G35" s="117">
        <f>'Vollzelle - 5µm (CR2032) - For'!H12</f>
        <v>3.6200000000000003E-2</v>
      </c>
      <c r="H35" s="118">
        <f>'Material - Abmessungen'!$E$25</f>
        <v>6.2343067500000018</v>
      </c>
      <c r="I35" s="119">
        <f t="shared" si="2"/>
        <v>2.8767065519999999E-2</v>
      </c>
      <c r="J35" s="16">
        <f>'Vollzelle - 5µm (CR2032) - For'!N12</f>
        <v>4.9381000000000004</v>
      </c>
      <c r="K35" s="16">
        <f t="shared" si="3"/>
        <v>171.65810661385808</v>
      </c>
      <c r="L35" s="16">
        <f>'Vollzelle - 5µm (CR2032) - For'!K12</f>
        <v>5.3219071211999998</v>
      </c>
    </row>
    <row r="36" spans="1:12" x14ac:dyDescent="0.35">
      <c r="A36" t="s">
        <v>328</v>
      </c>
      <c r="B36" t="s">
        <v>186</v>
      </c>
      <c r="C36" t="s">
        <v>316</v>
      </c>
      <c r="D36" t="s">
        <v>329</v>
      </c>
      <c r="E36" s="116">
        <v>13</v>
      </c>
      <c r="F36" s="117">
        <f>'Vollzelle - 5µm (CR2032) - For'!E13</f>
        <v>2.4899999999999999E-2</v>
      </c>
      <c r="G36" s="117">
        <f>'Vollzelle - 5µm (CR2032) - For'!H13</f>
        <v>3.6200000000000003E-2</v>
      </c>
      <c r="H36" s="118">
        <f>'Material - Abmessungen'!$E$25</f>
        <v>6.2343067500000018</v>
      </c>
      <c r="I36" s="119">
        <f t="shared" si="2"/>
        <v>2.8767065519999999E-2</v>
      </c>
      <c r="J36" s="16">
        <f>'Vollzelle - 5µm (CR2032) - For'!N13</f>
        <v>4.9612999999999996</v>
      </c>
      <c r="K36" s="16">
        <f t="shared" si="3"/>
        <v>172.46458442383386</v>
      </c>
      <c r="L36" s="16">
        <f>'Vollzelle - 5µm (CR2032) - For'!K13</f>
        <v>5.3219071211999998</v>
      </c>
    </row>
    <row r="37" spans="1:12" x14ac:dyDescent="0.35">
      <c r="A37" t="s">
        <v>330</v>
      </c>
      <c r="B37" t="s">
        <v>187</v>
      </c>
      <c r="C37" t="s">
        <v>316</v>
      </c>
      <c r="D37" t="s">
        <v>329</v>
      </c>
      <c r="E37" s="116">
        <v>33</v>
      </c>
      <c r="F37" s="117">
        <f>'Vollzelle - 5µm (CR2032) - For'!E33</f>
        <v>2.4799999999999999E-2</v>
      </c>
      <c r="G37" s="117">
        <f>'Vollzelle - 5µm (CR2032) - For'!H33</f>
        <v>3.6600000000000001E-2</v>
      </c>
      <c r="H37" s="118">
        <f>'Material - Abmessungen'!$E$25</f>
        <v>6.2343067500000018</v>
      </c>
      <c r="I37" s="119">
        <f t="shared" si="2"/>
        <v>2.9151065519999998E-2</v>
      </c>
      <c r="J37" s="16">
        <f>'Vollzelle - 5µm (CR2032) - For'!N33</f>
        <v>4.9497</v>
      </c>
      <c r="K37" s="16">
        <f t="shared" si="3"/>
        <v>169.7948226490762</v>
      </c>
      <c r="L37" s="16">
        <f>'Vollzelle - 5µm (CR2032) - For'!K33</f>
        <v>5.3929471211999997</v>
      </c>
    </row>
    <row r="38" spans="1:12" x14ac:dyDescent="0.35">
      <c r="A38" t="s">
        <v>330</v>
      </c>
      <c r="B38" t="s">
        <v>188</v>
      </c>
      <c r="C38" t="s">
        <v>316</v>
      </c>
      <c r="D38" t="s">
        <v>329</v>
      </c>
      <c r="E38" s="116">
        <v>34</v>
      </c>
      <c r="F38" s="117">
        <f>'Vollzelle - 5µm (CR2032) - For'!E34</f>
        <v>2.4899999999999999E-2</v>
      </c>
      <c r="G38" s="117">
        <f>'Vollzelle - 5µm (CR2032) - For'!H34</f>
        <v>3.7600000000000001E-2</v>
      </c>
      <c r="H38" s="118">
        <f>'Material - Abmessungen'!$E$25</f>
        <v>6.2343067500000018</v>
      </c>
      <c r="I38" s="119">
        <f t="shared" si="2"/>
        <v>3.0111065519999997E-2</v>
      </c>
      <c r="J38" s="16">
        <f>'Vollzelle - 5µm (CR2032) - For'!N34</f>
        <v>4.8948</v>
      </c>
      <c r="K38" s="16">
        <f t="shared" si="3"/>
        <v>162.55817970801587</v>
      </c>
      <c r="L38" s="16">
        <f>'Vollzelle - 5µm (CR2032) - For'!K34</f>
        <v>5.5705471211999997</v>
      </c>
    </row>
    <row r="39" spans="1:12" x14ac:dyDescent="0.35">
      <c r="A39" t="s">
        <v>330</v>
      </c>
      <c r="B39" t="s">
        <v>189</v>
      </c>
      <c r="C39" t="s">
        <v>316</v>
      </c>
      <c r="D39" t="s">
        <v>329</v>
      </c>
      <c r="E39" s="116">
        <v>35</v>
      </c>
      <c r="F39" s="117">
        <f>'Vollzelle - 5µm (CR2032) - For'!E35</f>
        <v>2.4899999999999999E-2</v>
      </c>
      <c r="G39" s="117">
        <f>'Vollzelle - 5µm (CR2032) - For'!H35</f>
        <v>3.6299999999999999E-2</v>
      </c>
      <c r="H39" s="118">
        <f>'Material - Abmessungen'!$E$25</f>
        <v>6.2343067500000018</v>
      </c>
      <c r="I39" s="119">
        <f t="shared" si="2"/>
        <v>2.8863065519999995E-2</v>
      </c>
      <c r="J39" s="16">
        <f>'Vollzelle - 5µm (CR2032) - For'!N35</f>
        <v>5.0039999999999996</v>
      </c>
      <c r="K39" s="16">
        <f t="shared" si="3"/>
        <v>173.37035792447594</v>
      </c>
      <c r="L39" s="16">
        <f>'Vollzelle - 5µm (CR2032) - For'!K35</f>
        <v>5.3396671211999989</v>
      </c>
    </row>
    <row r="40" spans="1:12" x14ac:dyDescent="0.35">
      <c r="A40" t="s">
        <v>330</v>
      </c>
      <c r="B40" t="s">
        <v>190</v>
      </c>
      <c r="C40" t="s">
        <v>316</v>
      </c>
      <c r="D40" t="s">
        <v>329</v>
      </c>
      <c r="E40" s="116">
        <v>36</v>
      </c>
      <c r="F40" s="117">
        <f>'Vollzelle - 5µm (CR2032) - For'!E36</f>
        <v>2.47E-2</v>
      </c>
      <c r="G40" s="117">
        <f>'Vollzelle - 5µm (CR2032) - For'!H36</f>
        <v>3.5999999999999997E-2</v>
      </c>
      <c r="H40" s="118">
        <f>'Material - Abmessungen'!$E$25</f>
        <v>6.2343067500000018</v>
      </c>
      <c r="I40" s="119">
        <f t="shared" si="2"/>
        <v>2.8575065519999995E-2</v>
      </c>
      <c r="J40" s="16">
        <f>'Vollzelle - 5µm (CR2032) - For'!N36</f>
        <v>4.9321000000000002</v>
      </c>
      <c r="K40" s="16">
        <f t="shared" si="3"/>
        <v>172.60152899904887</v>
      </c>
      <c r="L40" s="16">
        <f>'Vollzelle - 5µm (CR2032) - For'!K36</f>
        <v>5.2863871211999989</v>
      </c>
    </row>
    <row r="41" spans="1:12" x14ac:dyDescent="0.35">
      <c r="A41" t="s">
        <v>331</v>
      </c>
      <c r="B41" t="s">
        <v>192</v>
      </c>
      <c r="C41" t="s">
        <v>316</v>
      </c>
      <c r="D41" t="s">
        <v>329</v>
      </c>
      <c r="E41" s="116">
        <v>56</v>
      </c>
      <c r="F41" s="117">
        <f>'Vollzelle - 5µm (CR2032) - For'!E56</f>
        <v>2.4899999999999999E-2</v>
      </c>
      <c r="G41" s="117">
        <f>'Vollzelle - 5µm (CR2032) - For'!H56</f>
        <v>3.6799999999999999E-2</v>
      </c>
      <c r="H41" s="118">
        <f>'Material - Abmessungen'!$E$25</f>
        <v>6.2343067500000018</v>
      </c>
      <c r="I41" s="119">
        <f t="shared" si="2"/>
        <v>2.9343065519999996E-2</v>
      </c>
      <c r="J41" s="16">
        <f>'Vollzelle - 5µm (CR2032) - For'!N56</f>
        <v>4.8959000000000001</v>
      </c>
      <c r="K41" s="16">
        <f t="shared" si="3"/>
        <v>166.85032436924473</v>
      </c>
      <c r="L41" s="16">
        <f>'Vollzelle - 5µm (CR2032) - For'!K56</f>
        <v>5.4284671211999989</v>
      </c>
    </row>
    <row r="42" spans="1:12" x14ac:dyDescent="0.35">
      <c r="A42" t="s">
        <v>331</v>
      </c>
      <c r="B42" t="s">
        <v>193</v>
      </c>
      <c r="C42" t="s">
        <v>316</v>
      </c>
      <c r="D42" t="s">
        <v>329</v>
      </c>
      <c r="E42" s="116">
        <v>57</v>
      </c>
      <c r="F42" s="117">
        <f>'Vollzelle - 5µm (CR2032) - For'!E57</f>
        <v>2.46E-2</v>
      </c>
      <c r="G42" s="117">
        <f>'Vollzelle - 5µm (CR2032) - For'!H57</f>
        <v>3.7100000000000001E-2</v>
      </c>
      <c r="H42" s="118">
        <f>'Material - Abmessungen'!$E$25</f>
        <v>6.2343067500000018</v>
      </c>
      <c r="I42" s="119">
        <f t="shared" si="2"/>
        <v>2.9631065519999999E-2</v>
      </c>
      <c r="J42" s="16">
        <f>'Vollzelle - 5µm (CR2032) - For'!N57</f>
        <v>4.9615999999999998</v>
      </c>
      <c r="K42" s="16">
        <f t="shared" si="3"/>
        <v>167.44588535471607</v>
      </c>
      <c r="L42" s="16">
        <f>'Vollzelle - 5µm (CR2032) - For'!K57</f>
        <v>5.4817471211999997</v>
      </c>
    </row>
    <row r="43" spans="1:12" x14ac:dyDescent="0.35">
      <c r="A43" t="s">
        <v>331</v>
      </c>
      <c r="B43" t="s">
        <v>194</v>
      </c>
      <c r="C43" t="s">
        <v>316</v>
      </c>
      <c r="D43" t="s">
        <v>329</v>
      </c>
      <c r="E43" s="116">
        <v>58</v>
      </c>
      <c r="F43" s="117">
        <f>'Vollzelle - 5µm (CR2032) - For'!E58</f>
        <v>2.4899999999999999E-2</v>
      </c>
      <c r="G43" s="117">
        <f>'Vollzelle - 5µm (CR2032) - For'!H58</f>
        <v>3.6700000000000003E-2</v>
      </c>
      <c r="H43" s="118">
        <f>'Material - Abmessungen'!$E$25</f>
        <v>6.2343067500000018</v>
      </c>
      <c r="I43" s="119">
        <f t="shared" si="2"/>
        <v>2.9247065520000001E-2</v>
      </c>
      <c r="J43" s="16">
        <f>'Vollzelle - 5µm (CR2032) - For'!N58</f>
        <v>5.0250000000000004</v>
      </c>
      <c r="K43" s="16">
        <f t="shared" si="3"/>
        <v>171.81210869048581</v>
      </c>
      <c r="L43" s="16">
        <f>'Vollzelle - 5µm (CR2032) - For'!K58</f>
        <v>5.4107071212000006</v>
      </c>
    </row>
    <row r="44" spans="1:12" x14ac:dyDescent="0.35">
      <c r="A44" t="s">
        <v>331</v>
      </c>
      <c r="B44" t="s">
        <v>195</v>
      </c>
      <c r="C44" t="s">
        <v>316</v>
      </c>
      <c r="D44" t="s">
        <v>329</v>
      </c>
      <c r="E44" s="116">
        <v>59</v>
      </c>
      <c r="F44" s="117">
        <f>'Vollzelle - 5µm (CR2032) - For'!E59</f>
        <v>2.47E-2</v>
      </c>
      <c r="G44" s="117">
        <f>'Vollzelle - 5µm (CR2032) - For'!H59</f>
        <v>3.61E-2</v>
      </c>
      <c r="H44" s="118">
        <f>'Material - Abmessungen'!$E$25</f>
        <v>6.2343067500000018</v>
      </c>
      <c r="I44" s="119">
        <f t="shared" si="2"/>
        <v>2.8671065519999997E-2</v>
      </c>
      <c r="J44" s="16">
        <f>'Vollzelle - 5µm (CR2032) - For'!N59</f>
        <v>4.9257</v>
      </c>
      <c r="K44" s="16">
        <f t="shared" si="3"/>
        <v>171.80038169715013</v>
      </c>
      <c r="L44" s="16">
        <f>'Vollzelle - 5µm (CR2032) - For'!K59</f>
        <v>5.3041471211999998</v>
      </c>
    </row>
    <row r="45" spans="1:12" x14ac:dyDescent="0.35">
      <c r="A45" t="s">
        <v>332</v>
      </c>
      <c r="B45" t="s">
        <v>196</v>
      </c>
      <c r="C45" t="s">
        <v>316</v>
      </c>
      <c r="D45" t="s">
        <v>329</v>
      </c>
      <c r="E45" s="116">
        <v>79</v>
      </c>
      <c r="F45" s="117">
        <f>'Vollzelle - 5µm (CR2032) - For'!E79</f>
        <v>2.4500000000000001E-2</v>
      </c>
      <c r="G45" s="117">
        <f>'Vollzelle - 5µm (CR2032) - For'!H79</f>
        <v>3.6799999999999999E-2</v>
      </c>
      <c r="H45" s="118">
        <f>'Material - Abmessungen'!$E$25</f>
        <v>6.2343067500000018</v>
      </c>
      <c r="I45" s="119">
        <f t="shared" si="2"/>
        <v>2.9343065519999996E-2</v>
      </c>
      <c r="J45" s="16">
        <f>'Vollzelle - 5µm (CR2032) - For'!N79</f>
        <v>5.0153999999999996</v>
      </c>
      <c r="K45" s="16">
        <f t="shared" si="3"/>
        <v>170.92283683112603</v>
      </c>
      <c r="L45" s="16">
        <f>'Vollzelle - 5µm (CR2032) - For'!K79</f>
        <v>5.4284671211999989</v>
      </c>
    </row>
    <row r="46" spans="1:12" x14ac:dyDescent="0.35">
      <c r="A46" t="s">
        <v>332</v>
      </c>
      <c r="B46" t="s">
        <v>197</v>
      </c>
      <c r="C46" t="s">
        <v>316</v>
      </c>
      <c r="D46" t="s">
        <v>329</v>
      </c>
      <c r="E46" s="116">
        <v>80</v>
      </c>
      <c r="F46" s="117">
        <f>'Vollzelle - 5µm (CR2032) - For'!E80</f>
        <v>2.4400000000000002E-2</v>
      </c>
      <c r="G46" s="117">
        <f>'Vollzelle - 5µm (CR2032) - For'!H80</f>
        <v>3.7100000000000001E-2</v>
      </c>
      <c r="H46" s="118">
        <f>'Material - Abmessungen'!$E$25</f>
        <v>6.2343067500000018</v>
      </c>
      <c r="I46" s="119">
        <f t="shared" si="2"/>
        <v>2.9631065519999999E-2</v>
      </c>
      <c r="J46" s="16">
        <f>'Vollzelle - 5µm (CR2032) - For'!N80</f>
        <v>4.9965999999999999</v>
      </c>
      <c r="K46" s="16">
        <f t="shared" si="3"/>
        <v>168.62707811257945</v>
      </c>
      <c r="L46" s="16">
        <f>'Vollzelle - 5µm (CR2032) - For'!K80</f>
        <v>5.4817471211999997</v>
      </c>
    </row>
    <row r="47" spans="1:12" x14ac:dyDescent="0.35">
      <c r="A47" t="s">
        <v>332</v>
      </c>
      <c r="B47" t="s">
        <v>198</v>
      </c>
      <c r="C47" t="s">
        <v>316</v>
      </c>
      <c r="D47" t="s">
        <v>329</v>
      </c>
      <c r="E47" s="116">
        <v>81</v>
      </c>
      <c r="F47" s="117">
        <f>'Vollzelle - 5µm (CR2032) - For'!E81</f>
        <v>2.4899999999999999E-2</v>
      </c>
      <c r="G47" s="117">
        <f>'Vollzelle - 5µm (CR2032) - For'!H81</f>
        <v>3.7699999999999997E-2</v>
      </c>
      <c r="H47" s="118">
        <f>'Material - Abmessungen'!$E$25</f>
        <v>6.2343067500000018</v>
      </c>
      <c r="I47" s="119">
        <f t="shared" si="2"/>
        <v>3.0207065519999996E-2</v>
      </c>
      <c r="J47" s="16">
        <f>'Vollzelle - 5µm (CR2032) - For'!N81</f>
        <v>5.1737000000000002</v>
      </c>
      <c r="K47" s="16">
        <f t="shared" si="3"/>
        <v>171.27449856307661</v>
      </c>
      <c r="L47" s="16">
        <f>'Vollzelle - 5µm (CR2032) - For'!K81</f>
        <v>5.588307121199998</v>
      </c>
    </row>
    <row r="48" spans="1:12" x14ac:dyDescent="0.35">
      <c r="A48" t="s">
        <v>332</v>
      </c>
      <c r="B48" t="s">
        <v>199</v>
      </c>
      <c r="C48" t="s">
        <v>316</v>
      </c>
      <c r="D48" t="s">
        <v>329</v>
      </c>
      <c r="E48" s="116">
        <v>82</v>
      </c>
      <c r="F48" s="117">
        <f>'Vollzelle - 5µm (CR2032) - For'!E82</f>
        <v>2.4799999999999999E-2</v>
      </c>
      <c r="G48" s="117">
        <f>'Vollzelle - 5µm (CR2032) - For'!H82</f>
        <v>3.7400000000000003E-2</v>
      </c>
      <c r="H48" s="118">
        <f>'Material - Abmessungen'!$E$25</f>
        <v>6.2343067500000018</v>
      </c>
      <c r="I48" s="119">
        <f t="shared" si="2"/>
        <v>2.991906552E-2</v>
      </c>
      <c r="J48" s="16">
        <f>'Vollzelle - 5µm (CR2032) - For'!N82</f>
        <v>5.1246999999999998</v>
      </c>
      <c r="K48" s="16">
        <f t="shared" si="3"/>
        <v>171.28542990670252</v>
      </c>
      <c r="L48" s="16">
        <f>'Vollzelle - 5µm (CR2032) - For'!K82</f>
        <v>5.5350271212000006</v>
      </c>
    </row>
    <row r="49" spans="1:12" x14ac:dyDescent="0.35">
      <c r="A49" t="s">
        <v>332</v>
      </c>
      <c r="B49" t="s">
        <v>200</v>
      </c>
      <c r="C49" t="s">
        <v>316</v>
      </c>
      <c r="D49" t="s">
        <v>329</v>
      </c>
      <c r="E49" s="116">
        <v>83</v>
      </c>
      <c r="F49" s="117">
        <f>'Vollzelle - 5µm (CR2032) - For'!E83</f>
        <v>2.4799999999999999E-2</v>
      </c>
      <c r="G49" s="117">
        <f>'Vollzelle - 5µm (CR2032) - For'!H83</f>
        <v>3.6400000000000002E-2</v>
      </c>
      <c r="H49" s="118">
        <f>'Material - Abmessungen'!$E$25</f>
        <v>6.2343067500000018</v>
      </c>
      <c r="I49" s="119">
        <f t="shared" si="2"/>
        <v>2.8959065520000001E-2</v>
      </c>
      <c r="J49" s="16">
        <f>'Vollzelle - 5µm (CR2032) - For'!N83</f>
        <v>4.9511000000000003</v>
      </c>
      <c r="K49" s="16">
        <f t="shared" si="3"/>
        <v>170.96891460743518</v>
      </c>
      <c r="L49" s="16">
        <f>'Vollzelle - 5µm (CR2032) - For'!K83</f>
        <v>5.3574271211999989</v>
      </c>
    </row>
    <row r="50" spans="1:12" x14ac:dyDescent="0.35">
      <c r="A50" t="s">
        <v>332</v>
      </c>
      <c r="B50" t="s">
        <v>201</v>
      </c>
      <c r="C50" t="s">
        <v>316</v>
      </c>
      <c r="D50" t="s">
        <v>329</v>
      </c>
      <c r="E50" s="116">
        <v>84</v>
      </c>
      <c r="F50" s="117">
        <f>'Vollzelle - 5µm (CR2032) - For'!E84</f>
        <v>2.4799999999999999E-2</v>
      </c>
      <c r="G50" s="117">
        <f>'Vollzelle - 5µm (CR2032) - For'!H84</f>
        <v>3.6299999999999999E-2</v>
      </c>
      <c r="H50" s="118">
        <f>'Material - Abmessungen'!$E$25</f>
        <v>6.2343067500000018</v>
      </c>
      <c r="I50" s="119">
        <f t="shared" si="2"/>
        <v>2.8863065519999995E-2</v>
      </c>
      <c r="J50" s="16">
        <f>'Vollzelle - 5µm (CR2032) - For'!N84</f>
        <v>5.0223000000000004</v>
      </c>
      <c r="K50" s="16">
        <f t="shared" si="3"/>
        <v>174.00438621184966</v>
      </c>
      <c r="L50" s="16">
        <f>'Vollzelle - 5µm (CR2032) - For'!K84</f>
        <v>5.3396671211999989</v>
      </c>
    </row>
    <row r="51" spans="1:12" x14ac:dyDescent="0.35">
      <c r="A51" t="s">
        <v>333</v>
      </c>
      <c r="B51" t="s">
        <v>204</v>
      </c>
      <c r="C51" t="s">
        <v>316</v>
      </c>
      <c r="D51" t="s">
        <v>334</v>
      </c>
      <c r="E51" s="116">
        <v>7</v>
      </c>
      <c r="F51" s="117">
        <f>'Vollzelle - Referenzzelle'!E7</f>
        <v>2.4199999999999999E-2</v>
      </c>
      <c r="G51" s="117">
        <f>'Vollzelle - Referenzzelle'!H7</f>
        <v>3.73E-2</v>
      </c>
      <c r="H51" s="118">
        <f>'Material - Abmessungen'!$E$25</f>
        <v>6.2343067500000018</v>
      </c>
      <c r="I51" s="119">
        <f t="shared" si="2"/>
        <v>2.9823065519999997E-2</v>
      </c>
      <c r="J51" s="16">
        <f>'Vollzelle - Referenzzelle'!N7</f>
        <v>4.7469000000000001</v>
      </c>
      <c r="K51" s="16">
        <f t="shared" si="3"/>
        <v>159.16874798858709</v>
      </c>
      <c r="L51" s="16">
        <f>'Vollzelle - Referenzzelle'!K7</f>
        <v>5.5172671211999988</v>
      </c>
    </row>
    <row r="52" spans="1:12" x14ac:dyDescent="0.35">
      <c r="A52" t="s">
        <v>333</v>
      </c>
      <c r="B52" t="s">
        <v>205</v>
      </c>
      <c r="C52" t="s">
        <v>316</v>
      </c>
      <c r="D52" t="s">
        <v>334</v>
      </c>
      <c r="E52" s="116">
        <v>8</v>
      </c>
      <c r="F52" s="117">
        <f>'Vollzelle - Referenzzelle'!E8</f>
        <v>2.4199999999999999E-2</v>
      </c>
      <c r="G52" s="117">
        <f>'Vollzelle - Referenzzelle'!H8</f>
        <v>3.7400000000000003E-2</v>
      </c>
      <c r="H52" s="118">
        <f>'Material - Abmessungen'!$E$25</f>
        <v>6.2343067500000018</v>
      </c>
      <c r="I52" s="119">
        <f t="shared" si="2"/>
        <v>2.991906552E-2</v>
      </c>
      <c r="J52" s="16">
        <f>'Vollzelle - Referenzzelle'!N8</f>
        <v>4.7321999999999997</v>
      </c>
      <c r="K52" s="16">
        <f t="shared" si="3"/>
        <v>158.16670466651661</v>
      </c>
      <c r="L52" s="16">
        <f>'Vollzelle - Referenzzelle'!K8</f>
        <v>5.5350271212000006</v>
      </c>
    </row>
    <row r="53" spans="1:12" x14ac:dyDescent="0.35">
      <c r="A53" t="s">
        <v>333</v>
      </c>
      <c r="B53" t="s">
        <v>206</v>
      </c>
      <c r="C53" t="s">
        <v>316</v>
      </c>
      <c r="D53" t="s">
        <v>334</v>
      </c>
      <c r="E53" s="116">
        <v>9</v>
      </c>
      <c r="F53" s="117">
        <f>'Vollzelle - Referenzzelle'!E9</f>
        <v>2.4199999999999999E-2</v>
      </c>
      <c r="G53" s="117">
        <f>'Vollzelle - Referenzzelle'!H9</f>
        <v>3.6900000000000002E-2</v>
      </c>
      <c r="H53" s="118">
        <f>'Material - Abmessungen'!$E$25</f>
        <v>6.2343067500000018</v>
      </c>
      <c r="I53" s="119">
        <f t="shared" si="2"/>
        <v>2.9439065519999998E-2</v>
      </c>
      <c r="J53" s="16">
        <f>'Vollzelle - Referenzzelle'!N9</f>
        <v>4.5829000000000004</v>
      </c>
      <c r="K53" s="16">
        <f t="shared" si="3"/>
        <v>155.67409899225635</v>
      </c>
      <c r="L53" s="16">
        <f>'Vollzelle - Referenzzelle'!K9</f>
        <v>5.4462271212000006</v>
      </c>
    </row>
    <row r="54" spans="1:12" x14ac:dyDescent="0.35">
      <c r="A54" t="s">
        <v>333</v>
      </c>
      <c r="B54" t="s">
        <v>207</v>
      </c>
      <c r="C54" t="s">
        <v>316</v>
      </c>
      <c r="D54" t="s">
        <v>334</v>
      </c>
      <c r="E54" s="116">
        <v>10</v>
      </c>
      <c r="F54" s="117">
        <f>'Vollzelle - Referenzzelle'!E10</f>
        <v>2.4299999999999999E-2</v>
      </c>
      <c r="G54" s="117">
        <f>'Vollzelle - Referenzzelle'!H10</f>
        <v>3.6999999999999998E-2</v>
      </c>
      <c r="H54" s="118">
        <f>'Material - Abmessungen'!$E$25</f>
        <v>6.2343067500000018</v>
      </c>
      <c r="I54" s="119">
        <f t="shared" si="2"/>
        <v>2.9535065519999997E-2</v>
      </c>
      <c r="J54" s="16">
        <f>'Vollzelle - Referenzzelle'!N10</f>
        <v>4.6841999999999997</v>
      </c>
      <c r="K54" s="16">
        <f t="shared" si="3"/>
        <v>158.5979214039001</v>
      </c>
      <c r="L54" s="16">
        <f>'Vollzelle - Referenzzelle'!K10</f>
        <v>5.4639871211999997</v>
      </c>
    </row>
    <row r="55" spans="1:12" x14ac:dyDescent="0.35">
      <c r="A55" t="s">
        <v>335</v>
      </c>
      <c r="B55" t="s">
        <v>210</v>
      </c>
      <c r="C55" t="s">
        <v>316</v>
      </c>
      <c r="D55" t="s">
        <v>336</v>
      </c>
      <c r="E55" s="116">
        <v>10</v>
      </c>
      <c r="F55" s="117">
        <f>'Vollzelle - 10µm - 35°C'!E10</f>
        <v>2.52E-2</v>
      </c>
      <c r="G55" s="117">
        <f>'Vollzelle - 10µm - 35°C'!H10</f>
        <v>3.73E-2</v>
      </c>
      <c r="H55" s="118">
        <f>'Material - Abmessungen'!$E$25</f>
        <v>6.2343067500000018</v>
      </c>
      <c r="I55" s="119">
        <f t="shared" si="2"/>
        <v>2.9823065519999997E-2</v>
      </c>
      <c r="J55" s="16">
        <f>'Vollzelle - 10µm - 35°C'!N10</f>
        <v>5.5206</v>
      </c>
      <c r="K55" s="16">
        <f t="shared" si="3"/>
        <v>185.11175507084494</v>
      </c>
      <c r="L55" s="16">
        <f>'Vollzelle - 10µm - 35°C'!K10</f>
        <v>5.5172671211999988</v>
      </c>
    </row>
    <row r="56" spans="1:12" x14ac:dyDescent="0.35">
      <c r="A56" t="s">
        <v>335</v>
      </c>
      <c r="B56" t="s">
        <v>211</v>
      </c>
      <c r="C56" t="s">
        <v>316</v>
      </c>
      <c r="D56" t="s">
        <v>336</v>
      </c>
      <c r="E56" s="116">
        <v>11</v>
      </c>
      <c r="F56" s="117">
        <f>'Vollzelle - 10µm - 35°C'!E11</f>
        <v>2.53E-2</v>
      </c>
      <c r="G56" s="117">
        <f>'Vollzelle - 10µm - 35°C'!H11</f>
        <v>3.7100000000000001E-2</v>
      </c>
      <c r="H56" s="118">
        <f>'Material - Abmessungen'!$E$25</f>
        <v>6.2343067500000018</v>
      </c>
      <c r="I56" s="119">
        <f t="shared" si="2"/>
        <v>2.9631065519999999E-2</v>
      </c>
      <c r="J56" s="16">
        <f>'Vollzelle - 10µm - 35°C'!N11</f>
        <v>5.4619999999999997</v>
      </c>
      <c r="K56" s="16">
        <f t="shared" si="3"/>
        <v>184.33356695571169</v>
      </c>
      <c r="L56" s="16">
        <f>'Vollzelle - 10µm - 35°C'!K11</f>
        <v>5.4817471211999997</v>
      </c>
    </row>
    <row r="57" spans="1:12" x14ac:dyDescent="0.35">
      <c r="A57" t="s">
        <v>335</v>
      </c>
      <c r="B57" t="s">
        <v>212</v>
      </c>
      <c r="C57" t="s">
        <v>316</v>
      </c>
      <c r="D57" t="s">
        <v>336</v>
      </c>
      <c r="E57" s="116">
        <v>12</v>
      </c>
      <c r="F57" s="117">
        <f>'Vollzelle - 10µm - 35°C'!E12</f>
        <v>2.52E-2</v>
      </c>
      <c r="G57" s="117">
        <f>'Vollzelle - 10µm - 35°C'!H12</f>
        <v>3.7600000000000001E-2</v>
      </c>
      <c r="H57" s="118">
        <f>'Material - Abmessungen'!$E$25</f>
        <v>6.2343067500000018</v>
      </c>
      <c r="I57" s="119">
        <f t="shared" si="2"/>
        <v>3.0111065519999997E-2</v>
      </c>
      <c r="J57" s="16">
        <f>'Vollzelle - 10µm - 35°C'!N12</f>
        <v>5.5758000000000001</v>
      </c>
      <c r="K57" s="16">
        <f t="shared" si="3"/>
        <v>185.17445011358072</v>
      </c>
      <c r="L57" s="16">
        <f>'Vollzelle - 10µm - 35°C'!K12</f>
        <v>5.5705471211999997</v>
      </c>
    </row>
    <row r="58" spans="1:12" x14ac:dyDescent="0.35">
      <c r="A58" t="s">
        <v>335</v>
      </c>
      <c r="B58" t="s">
        <v>213</v>
      </c>
      <c r="C58" t="s">
        <v>316</v>
      </c>
      <c r="D58" t="s">
        <v>336</v>
      </c>
      <c r="E58" s="116">
        <v>13</v>
      </c>
      <c r="F58" s="117">
        <f>'Vollzelle - 10µm - 35°C'!E13</f>
        <v>2.52E-2</v>
      </c>
      <c r="G58" s="117">
        <f>'Vollzelle - 10µm - 35°C'!H13</f>
        <v>3.7400000000000003E-2</v>
      </c>
      <c r="H58" s="118">
        <f>'Material - Abmessungen'!$E$25</f>
        <v>6.2343067500000018</v>
      </c>
      <c r="I58" s="119">
        <f t="shared" si="2"/>
        <v>2.991906552E-2</v>
      </c>
      <c r="J58" s="16">
        <f>'Vollzelle - 10µm - 35°C'!N13</f>
        <v>5.4869000000000003</v>
      </c>
      <c r="K58" s="16">
        <f t="shared" si="3"/>
        <v>183.39142298184987</v>
      </c>
      <c r="L58" s="16">
        <f>'Vollzelle - 10µm - 35°C'!K13</f>
        <v>5.5350271212000006</v>
      </c>
    </row>
    <row r="59" spans="1:12" x14ac:dyDescent="0.35">
      <c r="A59" t="s">
        <v>335</v>
      </c>
      <c r="B59" t="s">
        <v>214</v>
      </c>
      <c r="C59" t="s">
        <v>316</v>
      </c>
      <c r="D59" t="s">
        <v>336</v>
      </c>
      <c r="E59" s="116">
        <v>14</v>
      </c>
      <c r="F59" s="117">
        <f>'Vollzelle - 10µm - 35°C'!E14</f>
        <v>2.53E-2</v>
      </c>
      <c r="G59" s="117">
        <f>'Vollzelle - 10µm - 35°C'!H14</f>
        <v>3.7400000000000003E-2</v>
      </c>
      <c r="H59" s="118">
        <f>'Material - Abmessungen'!$E$25</f>
        <v>6.2343067500000018</v>
      </c>
      <c r="I59" s="119">
        <f t="shared" si="2"/>
        <v>2.991906552E-2</v>
      </c>
      <c r="J59" s="16">
        <f>'Vollzelle - 10µm - 35°C'!N14</f>
        <v>5.5720000000000001</v>
      </c>
      <c r="K59" s="16">
        <f t="shared" si="3"/>
        <v>186.23576315494495</v>
      </c>
      <c r="L59" s="16">
        <f>'Vollzelle - 10µm - 35°C'!K14</f>
        <v>5.5350271212000006</v>
      </c>
    </row>
    <row r="60" spans="1:12" x14ac:dyDescent="0.35">
      <c r="A60" t="s">
        <v>335</v>
      </c>
      <c r="B60" t="s">
        <v>215</v>
      </c>
      <c r="C60" t="s">
        <v>316</v>
      </c>
      <c r="D60" t="s">
        <v>336</v>
      </c>
      <c r="E60" s="116">
        <v>15</v>
      </c>
      <c r="F60" s="117">
        <f>'Vollzelle - 10µm - 35°C'!E15</f>
        <v>2.52E-2</v>
      </c>
      <c r="G60" s="117">
        <f>'Vollzelle - 10µm - 35°C'!H15</f>
        <v>3.7499999999999999E-2</v>
      </c>
      <c r="H60" s="118">
        <f>'Material - Abmessungen'!$E$25</f>
        <v>6.2343067500000018</v>
      </c>
      <c r="I60" s="119">
        <f t="shared" si="2"/>
        <v>3.0015065519999995E-2</v>
      </c>
      <c r="J60" s="16">
        <f>'Vollzelle - 10µm - 35°C'!N15</f>
        <v>5.5726000000000004</v>
      </c>
      <c r="K60" s="16">
        <f t="shared" si="3"/>
        <v>185.66009780277838</v>
      </c>
      <c r="L60" s="16">
        <f>'Vollzelle - 10µm - 35°C'!K15</f>
        <v>5.5527871211999988</v>
      </c>
    </row>
    <row r="61" spans="1:12" x14ac:dyDescent="0.35">
      <c r="A61" t="s">
        <v>337</v>
      </c>
      <c r="B61" t="s">
        <v>218</v>
      </c>
      <c r="C61" t="s">
        <v>316</v>
      </c>
      <c r="D61" t="s">
        <v>338</v>
      </c>
      <c r="E61" s="116">
        <v>10</v>
      </c>
      <c r="F61" s="117">
        <f>'Vollzelle - 5µm - 35°C'!E10</f>
        <v>2.4799999999999999E-2</v>
      </c>
      <c r="G61" s="117">
        <f>'Vollzelle - 5µm - 35°C'!H10</f>
        <v>3.7199999999999997E-2</v>
      </c>
      <c r="H61" s="118">
        <f>'Material - Abmessungen'!$E$25</f>
        <v>6.2343067500000018</v>
      </c>
      <c r="I61" s="119">
        <f t="shared" si="2"/>
        <v>2.9727065519999995E-2</v>
      </c>
      <c r="J61" s="16">
        <f>'Vollzelle - 5µm - 35°C'!N10</f>
        <v>5.3414000000000001</v>
      </c>
      <c r="K61" s="16">
        <f t="shared" si="3"/>
        <v>179.68137475279468</v>
      </c>
      <c r="L61" s="16">
        <f>'Vollzelle - 5µm - 35°C'!K10</f>
        <v>5.4995071211999988</v>
      </c>
    </row>
    <row r="62" spans="1:12" x14ac:dyDescent="0.35">
      <c r="A62" t="s">
        <v>337</v>
      </c>
      <c r="B62" t="s">
        <v>219</v>
      </c>
      <c r="C62" t="s">
        <v>316</v>
      </c>
      <c r="D62" t="s">
        <v>338</v>
      </c>
      <c r="E62" s="116">
        <v>11</v>
      </c>
      <c r="F62" s="117">
        <f>'Vollzelle - 5µm - 35°C'!E11</f>
        <v>2.4799999999999999E-2</v>
      </c>
      <c r="G62" s="117">
        <f>'Vollzelle - 5µm - 35°C'!H11</f>
        <v>3.78E-2</v>
      </c>
      <c r="H62" s="118">
        <f>'Material - Abmessungen'!$E$25</f>
        <v>6.2343067500000018</v>
      </c>
      <c r="I62" s="119">
        <f t="shared" si="2"/>
        <v>3.0303065519999998E-2</v>
      </c>
      <c r="J62" s="16">
        <f>'Vollzelle - 5µm - 35°C'!N11</f>
        <v>5.452</v>
      </c>
      <c r="K62" s="16">
        <f t="shared" si="3"/>
        <v>179.91579090906444</v>
      </c>
      <c r="L62" s="16">
        <f>'Vollzelle - 5µm - 35°C'!K11</f>
        <v>5.6060671211999988</v>
      </c>
    </row>
    <row r="63" spans="1:12" x14ac:dyDescent="0.35">
      <c r="A63" t="s">
        <v>337</v>
      </c>
      <c r="B63" t="s">
        <v>220</v>
      </c>
      <c r="C63" t="s">
        <v>316</v>
      </c>
      <c r="D63" t="s">
        <v>338</v>
      </c>
      <c r="E63" s="116">
        <v>12</v>
      </c>
      <c r="F63" s="117">
        <f>'Vollzelle - 5µm - 35°C'!E12</f>
        <v>2.4899999999999999E-2</v>
      </c>
      <c r="G63" s="117">
        <f>'Vollzelle - 5µm - 35°C'!H12</f>
        <v>3.8600000000000002E-2</v>
      </c>
      <c r="H63" s="118">
        <f>'Material - Abmessungen'!$E$25</f>
        <v>6.2343067500000018</v>
      </c>
      <c r="I63" s="119">
        <f t="shared" si="2"/>
        <v>3.107106552E-2</v>
      </c>
      <c r="J63" s="16">
        <f>'Vollzelle - 5µm - 35°C'!N12</f>
        <v>5.452</v>
      </c>
      <c r="K63" s="16">
        <f t="shared" si="3"/>
        <v>175.46871691576285</v>
      </c>
      <c r="L63" s="16">
        <f>'Vollzelle - 5µm - 35°C'!K12</f>
        <v>5.7481471211999997</v>
      </c>
    </row>
    <row r="64" spans="1:12" x14ac:dyDescent="0.35">
      <c r="A64" t="s">
        <v>337</v>
      </c>
      <c r="B64" t="s">
        <v>221</v>
      </c>
      <c r="C64" t="s">
        <v>316</v>
      </c>
      <c r="D64" t="s">
        <v>338</v>
      </c>
      <c r="E64" s="116">
        <v>13</v>
      </c>
      <c r="F64" s="117">
        <f>'Vollzelle - 5µm - 35°C'!E13</f>
        <v>2.4899999999999999E-2</v>
      </c>
      <c r="G64" s="117">
        <f>'Vollzelle - 5µm - 35°C'!H13</f>
        <v>3.8300000000000001E-2</v>
      </c>
      <c r="H64" s="118">
        <f>'Material - Abmessungen'!$E$25</f>
        <v>6.2343067500000018</v>
      </c>
      <c r="I64" s="119">
        <f t="shared" si="2"/>
        <v>3.078306552E-2</v>
      </c>
      <c r="J64" s="16">
        <f>'Vollzelle - 5µm - 35°C'!N13</f>
        <v>5.5056000000000003</v>
      </c>
      <c r="K64" s="16">
        <f t="shared" si="3"/>
        <v>178.85158307001518</v>
      </c>
      <c r="L64" s="16">
        <f>'Vollzelle - 5µm - 35°C'!K13</f>
        <v>5.6948671211999988</v>
      </c>
    </row>
    <row r="65" spans="1:12" x14ac:dyDescent="0.35">
      <c r="A65" t="s">
        <v>337</v>
      </c>
      <c r="B65" t="s">
        <v>222</v>
      </c>
      <c r="C65" t="s">
        <v>316</v>
      </c>
      <c r="D65" t="s">
        <v>338</v>
      </c>
      <c r="E65" s="116">
        <v>14</v>
      </c>
      <c r="F65" s="117">
        <f>'Vollzelle - 5µm - 35°C'!E14</f>
        <v>2.4899999999999999E-2</v>
      </c>
      <c r="G65" s="117">
        <f>'Vollzelle - 5µm - 35°C'!H14</f>
        <v>3.7900000000000003E-2</v>
      </c>
      <c r="H65" s="118">
        <f>'Material - Abmessungen'!$E$25</f>
        <v>6.2343067500000018</v>
      </c>
      <c r="I65" s="119">
        <f t="shared" si="2"/>
        <v>3.0399065520000001E-2</v>
      </c>
      <c r="J65" s="16">
        <f>'Vollzelle - 5µm - 35°C'!N14</f>
        <v>5.4170999999999996</v>
      </c>
      <c r="K65" s="16">
        <f t="shared" si="3"/>
        <v>178.19955670795235</v>
      </c>
      <c r="L65" s="16">
        <f>'Vollzelle - 5µm - 35°C'!K14</f>
        <v>5.6238271212000006</v>
      </c>
    </row>
    <row r="66" spans="1:12" x14ac:dyDescent="0.35">
      <c r="A66" t="s">
        <v>337</v>
      </c>
      <c r="B66" t="s">
        <v>224</v>
      </c>
      <c r="C66" t="s">
        <v>316</v>
      </c>
      <c r="D66" t="s">
        <v>338</v>
      </c>
      <c r="E66" s="116">
        <v>15</v>
      </c>
      <c r="F66" s="117">
        <f>'Vollzelle - 5µm - 35°C'!E15</f>
        <v>2.5000000000000001E-2</v>
      </c>
      <c r="G66" s="117">
        <f>'Vollzelle - 5µm - 35°C'!H15</f>
        <v>3.8100000000000002E-2</v>
      </c>
      <c r="H66" s="118">
        <f>'Material - Abmessungen'!$E$25</f>
        <v>6.2343067500000018</v>
      </c>
      <c r="I66" s="119">
        <f t="shared" ref="I66:I97" si="4">(G66-H66/1000)*0.96</f>
        <v>3.0591065519999999E-2</v>
      </c>
      <c r="J66" s="16">
        <f>'Vollzelle - 5µm - 35°C'!N15</f>
        <v>5.4833999999999996</v>
      </c>
      <c r="K66" s="16">
        <f t="shared" ref="K66:K97" si="5">J66/I66</f>
        <v>179.24841475087004</v>
      </c>
      <c r="L66" s="16">
        <f>'Vollzelle - 5µm - 35°C'!K15</f>
        <v>5.6593471211999997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workbookViewId="0"/>
  </sheetViews>
  <sheetFormatPr baseColWidth="10" defaultColWidth="8.7265625" defaultRowHeight="14.5" x14ac:dyDescent="0.35"/>
  <cols>
    <col min="1" max="1" width="30" customWidth="1"/>
    <col min="2" max="2" width="10.6328125" customWidth="1"/>
    <col min="3" max="3" width="25.26953125" customWidth="1"/>
    <col min="4" max="4" width="14.90625" customWidth="1"/>
    <col min="5" max="5" width="15.08984375" customWidth="1"/>
  </cols>
  <sheetData>
    <row r="1" spans="1:5" ht="29" x14ac:dyDescent="0.35">
      <c r="A1" s="114" t="s">
        <v>303</v>
      </c>
      <c r="B1" s="114" t="s">
        <v>339</v>
      </c>
      <c r="C1" s="114" t="s">
        <v>340</v>
      </c>
      <c r="D1" s="114" t="s">
        <v>341</v>
      </c>
      <c r="E1" s="114" t="s">
        <v>342</v>
      </c>
    </row>
    <row r="2" spans="1:5" x14ac:dyDescent="0.35">
      <c r="A2" t="s">
        <v>315</v>
      </c>
      <c r="B2" s="116">
        <v>6</v>
      </c>
      <c r="C2" s="16">
        <v>171.42277899999999</v>
      </c>
      <c r="D2" s="16">
        <v>169.897041</v>
      </c>
      <c r="E2" s="16">
        <v>172.466182</v>
      </c>
    </row>
    <row r="3" spans="1:5" x14ac:dyDescent="0.35">
      <c r="A3" t="s">
        <v>318</v>
      </c>
      <c r="B3" s="116">
        <v>4</v>
      </c>
      <c r="C3" s="16">
        <v>174.720856</v>
      </c>
      <c r="D3" s="16">
        <v>170.15780000000001</v>
      </c>
      <c r="E3" s="16">
        <v>178.234342</v>
      </c>
    </row>
    <row r="4" spans="1:5" x14ac:dyDescent="0.35">
      <c r="A4" t="s">
        <v>319</v>
      </c>
      <c r="B4" s="116">
        <v>4</v>
      </c>
      <c r="C4" s="16">
        <v>176.85834199999999</v>
      </c>
      <c r="D4" s="16">
        <v>171.14435399999999</v>
      </c>
      <c r="E4" s="16">
        <v>180.22662800000001</v>
      </c>
    </row>
    <row r="5" spans="1:5" x14ac:dyDescent="0.35">
      <c r="A5" t="s">
        <v>320</v>
      </c>
      <c r="B5" s="116">
        <v>6</v>
      </c>
      <c r="C5" s="16">
        <v>175.365972</v>
      </c>
      <c r="D5" s="16">
        <v>172.36705900000001</v>
      </c>
      <c r="E5" s="16">
        <v>177.980344</v>
      </c>
    </row>
    <row r="6" spans="1:5" x14ac:dyDescent="0.35">
      <c r="A6" t="s">
        <v>321</v>
      </c>
      <c r="B6" s="116">
        <v>3</v>
      </c>
      <c r="C6" s="16">
        <v>178.21318299999999</v>
      </c>
      <c r="D6" s="16">
        <v>177.916909</v>
      </c>
      <c r="E6" s="16">
        <v>178.401948</v>
      </c>
    </row>
    <row r="7" spans="1:5" x14ac:dyDescent="0.35">
      <c r="A7" t="s">
        <v>324</v>
      </c>
      <c r="B7" s="116">
        <v>2</v>
      </c>
      <c r="C7" s="16">
        <v>183.324737</v>
      </c>
      <c r="D7" s="16">
        <v>182.53440599999999</v>
      </c>
      <c r="E7" s="16">
        <v>184.11506800000001</v>
      </c>
    </row>
    <row r="8" spans="1:5" x14ac:dyDescent="0.35">
      <c r="A8" t="s">
        <v>325</v>
      </c>
      <c r="B8" s="116">
        <v>2</v>
      </c>
      <c r="C8" s="16">
        <v>203.79736299999999</v>
      </c>
      <c r="D8" s="16">
        <v>203.29206500000001</v>
      </c>
      <c r="E8" s="16">
        <v>204.302662</v>
      </c>
    </row>
    <row r="9" spans="1:5" x14ac:dyDescent="0.35">
      <c r="A9" t="s">
        <v>326</v>
      </c>
      <c r="B9" s="116">
        <v>2</v>
      </c>
      <c r="C9" s="16">
        <v>203.42068399999999</v>
      </c>
      <c r="D9" s="16">
        <v>202.79208</v>
      </c>
      <c r="E9" s="16">
        <v>204.04928899999999</v>
      </c>
    </row>
    <row r="10" spans="1:5" x14ac:dyDescent="0.35">
      <c r="A10" t="s">
        <v>327</v>
      </c>
      <c r="B10" s="116">
        <v>2</v>
      </c>
      <c r="C10" s="16">
        <v>200.87211300000001</v>
      </c>
      <c r="D10" s="16">
        <v>197.96012099999999</v>
      </c>
      <c r="E10" s="16">
        <v>203.78410600000001</v>
      </c>
    </row>
    <row r="11" spans="1:5" x14ac:dyDescent="0.35">
      <c r="A11" t="s">
        <v>328</v>
      </c>
      <c r="B11" s="116">
        <v>4</v>
      </c>
      <c r="C11" s="16">
        <v>172.422426</v>
      </c>
      <c r="D11" s="16">
        <v>171.658107</v>
      </c>
      <c r="E11" s="16">
        <v>173.262945</v>
      </c>
    </row>
    <row r="12" spans="1:5" x14ac:dyDescent="0.35">
      <c r="A12" t="s">
        <v>330</v>
      </c>
      <c r="B12" s="116">
        <v>4</v>
      </c>
      <c r="C12" s="16">
        <v>169.581222</v>
      </c>
      <c r="D12" s="16">
        <v>162.55817999999999</v>
      </c>
      <c r="E12" s="16">
        <v>173.37035800000001</v>
      </c>
    </row>
    <row r="13" spans="1:5" x14ac:dyDescent="0.35">
      <c r="A13" t="s">
        <v>331</v>
      </c>
      <c r="B13" s="116">
        <v>4</v>
      </c>
      <c r="C13" s="16">
        <v>169.47717499999999</v>
      </c>
      <c r="D13" s="16">
        <v>166.850324</v>
      </c>
      <c r="E13" s="16">
        <v>171.81210899999999</v>
      </c>
    </row>
    <row r="14" spans="1:5" x14ac:dyDescent="0.35">
      <c r="A14" t="s">
        <v>332</v>
      </c>
      <c r="B14" s="116">
        <v>6</v>
      </c>
      <c r="C14" s="16">
        <v>171.18052399999999</v>
      </c>
      <c r="D14" s="16">
        <v>168.62707800000001</v>
      </c>
      <c r="E14" s="16">
        <v>174.00438600000001</v>
      </c>
    </row>
    <row r="15" spans="1:5" x14ac:dyDescent="0.35">
      <c r="A15" t="s">
        <v>333</v>
      </c>
      <c r="B15" s="116">
        <v>4</v>
      </c>
      <c r="C15" s="16">
        <v>157.90186800000001</v>
      </c>
      <c r="D15" s="16">
        <v>155.67409900000001</v>
      </c>
      <c r="E15" s="16">
        <v>159.16874799999999</v>
      </c>
    </row>
    <row r="16" spans="1:5" x14ac:dyDescent="0.35">
      <c r="A16" t="s">
        <v>335</v>
      </c>
      <c r="B16" s="116">
        <v>6</v>
      </c>
      <c r="C16" s="16">
        <v>184.984509</v>
      </c>
      <c r="D16" s="16">
        <v>183.391423</v>
      </c>
      <c r="E16" s="16">
        <v>186.23576299999999</v>
      </c>
    </row>
    <row r="17" spans="1:5" x14ac:dyDescent="0.35">
      <c r="A17" t="s">
        <v>337</v>
      </c>
      <c r="B17" s="116">
        <v>6</v>
      </c>
      <c r="C17" s="16">
        <v>178.56090599999999</v>
      </c>
      <c r="D17" s="16">
        <v>175.468717</v>
      </c>
      <c r="E17" s="16">
        <v>179.91579100000001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Vollzelle - 10µm(Cr2032) - For</vt:lpstr>
      <vt:lpstr>Vollzelle - Pouchzelle (10µm)</vt:lpstr>
      <vt:lpstr>Halbzelle - 10µm (CR2032) - For</vt:lpstr>
      <vt:lpstr>Halbzelle - 5µm (CR2032) - For</vt:lpstr>
      <vt:lpstr>Halbzelle - Ref (CR2032) - For</vt:lpstr>
      <vt:lpstr>Halbzelle - 10µm - EIS</vt:lpstr>
      <vt:lpstr>Halbzelle - 5µm - EIS</vt:lpstr>
      <vt:lpstr>Halbzelle - 10µm - 35°C - EIS</vt:lpstr>
      <vt:lpstr>Halbzelle - Ref - EIS</vt:lpstr>
      <vt:lpstr>Vollzellen - 10µm - EIS</vt:lpstr>
      <vt:lpstr>Vollzellen - 5µm - EIS</vt:lpstr>
      <vt:lpstr>Halbzelle - 5µm - 35°C - EIS</vt:lpstr>
      <vt:lpstr>Vollzelle - 5µm (CR2032) - For</vt:lpstr>
      <vt:lpstr>Vollzelle - Referenzzelle</vt:lpstr>
      <vt:lpstr>Vollzelle - 10µm - 35°C</vt:lpstr>
      <vt:lpstr>Vollzelle - 5µm - 35°C</vt:lpstr>
      <vt:lpstr>Material - Abmessungen</vt:lpstr>
      <vt:lpstr>Spez. Kapazität</vt:lpstr>
      <vt:lpstr>Gruppenübersicht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</dc:creator>
  <cp:lastModifiedBy>Pedram Golestani</cp:lastModifiedBy>
  <dcterms:created xsi:type="dcterms:W3CDTF">2026-08-26T13:32:44Z</dcterms:created>
  <dcterms:modified xsi:type="dcterms:W3CDTF">2026-08-26T13:32:44Z</dcterms:modified>
</cp:coreProperties>
</file>